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8800" windowHeight="12255" firstSheet="1" activeTab="2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<sst xmlns="http://schemas.openxmlformats.org/spreadsheetml/2006/main" count="491" uniqueCount="225">
  <si>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</si>
  <si>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</si>
  <si>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</si>
  <si>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</si>
  <si>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</si>
  <si>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</si>
  <si>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</si>
  <si>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</si>
  <si>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</si>
  <si>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</si>
  <si>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</si>
  <si>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</si>
  <si>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</si>
  <si>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</si>
  <si>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</si>
  <si>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</si>
  <si>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</si>
  <si>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</si>
  <si>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</si>
  <si>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</si>
  <si>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0.0468元/克+3.12元/票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</si>
  <si>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</si>
  <si>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</si>
  <si>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</si>
  <si>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</si>
  <si>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</si>
  <si>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</si>
  <si>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</si>
  <si>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</si>
  <si>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0.0364元/克+3.12元/票</t>
  </si>
  <si>
    <t>实重（KG）</t>
  </si>
  <si>
    <t>CEL Economy Extra Small    
超级轻小件（陆运经济）</t>
  </si>
  <si>
    <t>15-25天</t>
  </si>
  <si>
    <t>0.026元/克+3.12元/票</t>
  </si>
  <si>
    <t>长（CM）</t>
  </si>
  <si>
    <t>Budget       
（低客单价标准件）</t>
  </si>
  <si>
    <t>CEL Express Budget          
低客单价标准件（陆空特快）</t>
  </si>
  <si>
    <t>0.03432元/克+23.92元/票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</si>
  <si>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</si>
  <si>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</si>
  <si>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</si>
  <si>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</si>
  <si>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0.026元/克+23.92元/票</t>
  </si>
  <si>
    <t>高（CM）</t>
  </si>
  <si>
    <t>CEL Economy Budget         
低客单价标准件（陆运经济）</t>
  </si>
  <si>
    <t>0.01768元/克+23.92元/票</t>
  </si>
  <si>
    <t>三边尺寸之和</t>
  </si>
  <si>
    <t>Small              
（小件）</t>
  </si>
  <si>
    <t>CEL Express Small          
小件（陆空特快）</t>
  </si>
  <si>
    <t>0.0468元/克+16.64元/票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</si>
  <si>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</si>
  <si>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</si>
  <si>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</si>
  <si>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</si>
  <si>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</si>
  <si>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0.0364元/克+16.64元/票</t>
  </si>
  <si>
    <t>CEL Economy Small          
小件（陆运经济）</t>
  </si>
  <si>
    <t>0.026元/克+16.64元/票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</si>
  <si>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</si>
  <si>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</si>
  <si>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</si>
  <si>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0.026元/克+37.44元/票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</si>
  <si>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</si>
  <si>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</si>
  <si>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</si>
  <si>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三边和不超310CM
最长边不超150CM</t>
  </si>
  <si>
    <t>CEL Economy Big            
大件（陆运经济）</t>
  </si>
  <si>
    <t>0.01768元/克+37.44元/票</t>
  </si>
  <si>
    <t>Premium Small
（高客单价小件）</t>
  </si>
  <si>
    <t>CEL Express Premium Small  
高客单价小件（陆空特快）</t>
  </si>
  <si>
    <t>0.0468元/克+22.88元/票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</si>
  <si>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</si>
  <si>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</si>
  <si>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t>三边和不超250CM
最长边不超150CM</t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</si>
  <si>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</si>
  <si>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</si>
  <si>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0.0364元/克+22.88元/票</t>
  </si>
  <si>
    <t>CEL Economy Premium Small  
高客单价小件（陆运经济）</t>
  </si>
  <si>
    <t>0.026元/克+22.88元/票</t>
  </si>
  <si>
    <t>Premium Big    
（高客单价大件）</t>
  </si>
  <si>
    <t>CEL Standard Premium Big   
高客单价大件（陆空标准）</t>
  </si>
  <si>
    <t>0.02912元/克+64.48元/票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</si>
  <si>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</si>
  <si>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</si>
  <si>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</si>
  <si>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</si>
  <si>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0.02392元/克+64.48元/票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</si>
  <si>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</si>
  <si>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</si>
  <si>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</si>
  <si>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</si>
  <si>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</si>
  <si>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</si>
  <si>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</si>
  <si>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</si>
  <si>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</si>
  <si>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</si>
  <si>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</si>
  <si>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</si>
  <si>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</si>
  <si>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</si>
  <si>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</si>
  <si>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</si>
  <si>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</si>
  <si>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</si>
  <si>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0.03432元/克+37.44元/票</t>
  </si>
  <si>
    <t>CEL Express Premium Big    
 高客单价大件（陆空特快）</t>
  </si>
  <si>
    <t>0.03432元/克+64.48元/票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</si>
  <si>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</si>
  <si>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</si>
  <si>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</si>
  <si>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</si>
  <si>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</si>
  <si>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</si>
  <si>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</si>
  <si>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</si>
  <si>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</si>
  <si>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</si>
  <si>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</si>
  <si>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</si>
  <si>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36.4元/kg+3.12元/票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</si>
  <si>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</si>
  <si>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</si>
  <si>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</si>
  <si>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</si>
  <si>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</si>
  <si>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</si>
  <si>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26元/kg+3.12元/票</t>
  </si>
  <si>
    <t>CEL Belarus Standard Budget</t>
  </si>
  <si>
    <t>26元/kg+23.92元/票</t>
  </si>
  <si>
    <t>0.501-30kg</t>
  </si>
  <si>
    <t>长+宽+高≤150cm，单边≤60cm</t>
  </si>
  <si>
    <t>重量(KG)</t>
  </si>
  <si>
    <t>CEL Belarus Economy Budget</t>
  </si>
  <si>
    <t>17.68元/kg+23.92元/票</t>
  </si>
  <si>
    <t>CEL Belarus Standard Small</t>
  </si>
  <si>
    <t>36.4元/kg+16.64元/票</t>
  </si>
  <si>
    <t>0.001-2kg</t>
  </si>
  <si>
    <t>1501-7000</t>
  </si>
  <si>
    <t>退回
销毁</t>
  </si>
  <si>
    <t>CEL Belarus Economy Small</t>
  </si>
  <si>
    <t>26元/kg+16.64元/票</t>
  </si>
  <si>
    <t>CEL Belarus Standard Big</t>
  </si>
  <si>
    <t>26元/kg+37.44元/票</t>
  </si>
  <si>
    <t>2.001-30kg</t>
  </si>
  <si>
    <t>长+宽+高≤310cm，单边≤150cm</t>
  </si>
  <si>
    <t>长(CM)</t>
  </si>
  <si>
    <t>CEL Belarus Economy Big</t>
  </si>
  <si>
    <t>17.68元/kg+37.44元/票</t>
  </si>
  <si>
    <t>CEL Belarus Standard Premium Small</t>
  </si>
  <si>
    <t>36.4元/kg+22.88元/票</t>
  </si>
  <si>
    <t>0.001-5kg</t>
  </si>
  <si>
    <t>长+宽+高≤250cm，单边≤150cm</t>
  </si>
  <si>
    <t>7001-18000</t>
  </si>
  <si>
    <t>CEL Belarus Economy  Premium Small</t>
  </si>
  <si>
    <t>26元/kg+22.88元/票</t>
  </si>
  <si>
    <t>CEL Belarus Standard Premium Big</t>
  </si>
  <si>
    <t>29.12元/kg+64.48元/票</t>
  </si>
  <si>
    <t>5.001-30kg</t>
  </si>
  <si>
    <t>宽(CM)</t>
  </si>
  <si>
    <t>CEL Belarus Economy  Premium Big</t>
  </si>
  <si>
    <t>23.92元/kg+64.48元/票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</si>
  <si>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</si>
  <si>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</si>
  <si>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</si>
  <si>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</si>
  <si>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</si>
  <si>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</si>
  <si>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</si>
  <si>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</si>
  <si>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</si>
  <si>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</si>
  <si>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</si>
  <si>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</si>
  <si>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</si>
  <si>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</si>
  <si>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</si>
  <si>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</si>
  <si>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</si>
  <si>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Standard：15-20天
Economy：25-30天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</si>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</sst>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sz val="28"/>
      <color theme="0"/>
      <name val="微软雅黑"/>
      <charset val="134"/>
    </font>
    <font>
      <b/>
      <sz val="1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name val="微软雅黑"/>
      <charset val="204"/>
    </font>
    <font>
      <b/>
      <sz val="10"/>
      <name val="宋体"/>
      <charset val="204"/>
    </font>
    <font>
      <b/>
      <sz val="9"/>
      <name val="宋体"/>
      <charset val="20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0"/>
      <name val="宋体"/>
      <charset val="204"/>
    </font>
    <font>
      <sz val="11"/>
      <color theme="0"/>
      <name val="宋体"/>
      <charset val="20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Times New Roman"/>
      <charset val="204"/>
    </font>
    <font>
      <b/>
      <sz val="10"/>
      <name val="Times New Roman"/>
      <charset val="134"/>
    </font>
    <font>
      <sz val="10"/>
      <color rgb="FF08090C"/>
      <name val="微软雅黑"/>
      <charset val="0"/>
    </font>
    <font>
      <b/>
      <sz val="10"/>
      <color rgb="FFFF0000"/>
      <name val="宋体"/>
      <charset val="204"/>
    </font>
    <font>
      <b/>
      <u/>
      <sz val="10"/>
      <color rgb="FFFF0000"/>
      <name val="宋体"/>
      <charset val="20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2" borderId="53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4" applyNumberFormat="0" applyFill="0" applyAlignment="0" applyProtection="0">
      <alignment vertical="center"/>
    </xf>
    <xf numFmtId="0" fontId="57" fillId="0" borderId="54" applyNumberFormat="0" applyFill="0" applyAlignment="0" applyProtection="0">
      <alignment vertical="center"/>
    </xf>
    <xf numFmtId="0" fontId="58" fillId="0" borderId="5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56" applyNumberFormat="0" applyAlignment="0" applyProtection="0">
      <alignment vertical="center"/>
    </xf>
    <xf numFmtId="0" fontId="60" fillId="14" borderId="57" applyNumberFormat="0" applyAlignment="0" applyProtection="0">
      <alignment vertical="center"/>
    </xf>
    <xf numFmtId="0" fontId="61" fillId="14" borderId="56" applyNumberFormat="0" applyAlignment="0" applyProtection="0">
      <alignment vertical="center"/>
    </xf>
    <xf numFmtId="0" fontId="62" fillId="15" borderId="58" applyNumberFormat="0" applyAlignment="0" applyProtection="0">
      <alignment vertical="center"/>
    </xf>
    <xf numFmtId="0" fontId="63" fillId="0" borderId="59" applyNumberFormat="0" applyFill="0" applyAlignment="0" applyProtection="0">
      <alignment vertical="center"/>
    </xf>
    <xf numFmtId="0" fontId="64" fillId="0" borderId="60" applyNumberFormat="0" applyFill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0" fillId="0" borderId="0"/>
  </cellStyleXfs>
  <cellXfs count="189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16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1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vertical="center" wrapText="1"/>
      <protection hidden="1"/>
    </xf>
    <xf numFmtId="0" fontId="6" fillId="0" borderId="19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1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vertical="center" wrapText="1"/>
      <protection hidden="1"/>
    </xf>
    <xf numFmtId="0" fontId="6" fillId="0" borderId="2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7" xfId="0" applyFont="1" applyFill="1" applyBorder="1" applyAlignment="1" applyProtection="1">
      <alignment horizontal="center" vertical="center" wrapText="1"/>
      <protection hidden="1"/>
    </xf>
    <xf numFmtId="0" fontId="21" fillId="7" borderId="28" xfId="0" applyFont="1" applyFill="1" applyBorder="1" applyAlignment="1" applyProtection="1">
      <alignment horizontal="center" vertical="center" wrapText="1"/>
      <protection hidden="1"/>
    </xf>
    <xf numFmtId="0" fontId="22" fillId="3" borderId="29" xfId="49" applyFont="1" applyFill="1" applyBorder="1" applyAlignment="1" applyProtection="1">
      <alignment horizontal="center" vertical="center" wrapText="1"/>
      <protection hidden="1"/>
    </xf>
    <xf numFmtId="0" fontId="22" fillId="3" borderId="30" xfId="0" applyFont="1" applyFill="1" applyBorder="1" applyAlignment="1" applyProtection="1">
      <alignment horizontal="center" vertical="center" wrapText="1"/>
      <protection hidden="1"/>
    </xf>
    <xf numFmtId="7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7" xfId="49" applyFont="1" applyFill="1" applyBorder="1" applyAlignment="1" applyProtection="1">
      <alignment horizontal="center" vertical="center" wrapText="1"/>
      <protection hidden="1"/>
    </xf>
    <xf numFmtId="0" fontId="22" fillId="3" borderId="19" xfId="0" applyFont="1" applyFill="1" applyBorder="1" applyAlignment="1" applyProtection="1">
      <alignment horizontal="center" vertical="center" wrapText="1"/>
      <protection hidden="1"/>
    </xf>
    <xf numFmtId="7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5" xfId="0" applyFont="1" applyFill="1" applyBorder="1" applyAlignment="1" applyProtection="1">
      <alignment horizontal="center" vertical="center" wrapText="1"/>
      <protection hidden="1"/>
    </xf>
    <xf numFmtId="0" fontId="22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4" xfId="0" applyFont="1" applyFill="1" applyBorder="1" applyAlignment="1" applyProtection="1">
      <alignment horizontal="center" vertical="center" wrapText="1"/>
      <protection hidden="1"/>
    </xf>
    <xf numFmtId="0" fontId="22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0" xfId="0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horizontal="center" vertical="center" wrapText="1"/>
      <protection hidden="1"/>
    </xf>
    <xf numFmtId="7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vertical="center" wrapText="1"/>
      <protection hidden="1"/>
    </xf>
    <xf numFmtId="177" fontId="22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2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2" fillId="0" borderId="0" xfId="0" applyNumberFormat="1" applyFont="1" applyFill="1" applyAlignment="1" applyProtection="1">
      <alignment horizontal="center" vertical="top" wrapText="1"/>
      <protection hidden="1"/>
    </xf>
    <xf numFmtId="0" fontId="33" fillId="9" borderId="37" xfId="0" applyNumberFormat="1" applyFont="1" applyFill="1" applyBorder="1" applyAlignment="1" applyProtection="1">
      <alignment horizontal="center" vertical="center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10" borderId="38" xfId="0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36" fillId="0" borderId="37" xfId="0" applyNumberFormat="1" applyFont="1" applyFill="1" applyBorder="1" applyAlignment="1" applyProtection="1">
      <alignment horizontal="center" vertical="center"/>
      <protection hidden="1"/>
    </xf>
    <xf numFmtId="176" fontId="37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38" fillId="0" borderId="40" xfId="0" applyFont="1" applyFill="1" applyBorder="1" applyAlignment="1" applyProtection="1">
      <alignment horizontal="center" vertical="center"/>
      <protection locked="0"/>
    </xf>
    <xf numFmtId="0" fontId="39" fillId="0" borderId="41" xfId="0" applyFont="1" applyFill="1" applyBorder="1" applyAlignment="1" applyProtection="1">
      <alignment horizontal="center" vertical="center"/>
      <protection hidden="1"/>
    </xf>
    <xf numFmtId="0" fontId="40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42" xfId="0" applyFont="1" applyFill="1" applyBorder="1" applyAlignment="1" applyProtection="1">
      <alignment horizontal="center" vertical="center"/>
      <protection hidden="1"/>
    </xf>
    <xf numFmtId="0" fontId="39" fillId="0" borderId="43" xfId="0" applyFont="1" applyFill="1" applyBorder="1" applyAlignment="1" applyProtection="1">
      <alignment horizontal="center" vertical="center"/>
      <protection hidden="1"/>
    </xf>
    <xf numFmtId="0" fontId="39" fillId="0" borderId="44" xfId="0" applyFont="1" applyFill="1" applyBorder="1" applyAlignment="1" applyProtection="1">
      <alignment horizontal="center" vertical="center"/>
      <protection hidden="1"/>
    </xf>
    <xf numFmtId="0" fontId="38" fillId="0" borderId="45" xfId="0" applyFont="1" applyFill="1" applyBorder="1" applyAlignment="1" applyProtection="1">
      <alignment horizontal="center" vertical="center"/>
      <protection locked="0"/>
    </xf>
    <xf numFmtId="0" fontId="39" fillId="0" borderId="46" xfId="0" applyFont="1" applyFill="1" applyBorder="1" applyAlignment="1" applyProtection="1">
      <alignment horizontal="center" vertical="center"/>
      <protection hidden="1"/>
    </xf>
    <xf numFmtId="0" fontId="39" fillId="0" borderId="47" xfId="0" applyFont="1" applyFill="1" applyBorder="1" applyAlignment="1" applyProtection="1">
      <alignment horizontal="center" vertical="center"/>
      <protection hidden="1"/>
    </xf>
    <xf numFmtId="0" fontId="12" fillId="0" borderId="48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40" xfId="0" applyFont="1" applyFill="1" applyBorder="1" applyAlignment="1" applyProtection="1">
      <alignment horizontal="center" vertical="center"/>
      <protection hidden="1"/>
    </xf>
    <xf numFmtId="177" fontId="38" fillId="0" borderId="4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33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49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vertical="center" wrapText="1"/>
    </xf>
    <xf numFmtId="0" fontId="33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horizontal="center" vertical="center" wrapText="1"/>
    </xf>
    <xf numFmtId="176" fontId="30" fillId="0" borderId="50" xfId="0" applyNumberFormat="1" applyFont="1" applyFill="1" applyBorder="1" applyAlignment="1" applyProtection="1">
      <alignment horizontal="center" vertical="center"/>
      <protection hidden="1"/>
    </xf>
    <xf numFmtId="0" fontId="46" fillId="11" borderId="51" xfId="0" applyNumberFormat="1" applyFont="1" applyFill="1" applyBorder="1" applyAlignment="1" applyProtection="1">
      <alignment horizontal="center" vertical="center" wrapText="1"/>
      <protection hidden="1"/>
    </xf>
    <xf numFmtId="0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6" fillId="11" borderId="0" xfId="0" applyNumberFormat="1" applyFont="1" applyFill="1" applyAlignment="1" applyProtection="1">
      <alignment horizontal="center" vertical="center" wrapText="1"/>
      <protection hidden="1"/>
    </xf>
    <xf numFmtId="176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52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0" fontId="48" fillId="11" borderId="51" xfId="0" applyFont="1" applyFill="1" applyBorder="1" applyAlignment="1" applyProtection="1">
      <alignment horizontal="center" vertical="center"/>
      <protection hidden="1"/>
    </xf>
    <xf numFmtId="0" fontId="48" fillId="11" borderId="0" xfId="0" applyFont="1" applyFill="1" applyAlignment="1" applyProtection="1">
      <alignment horizontal="center" vertical="center"/>
      <protection hidden="1"/>
    </xf>
    <xf numFmtId="177" fontId="48" fillId="11" borderId="0" xfId="0" applyNumberFormat="1" applyFont="1" applyFill="1" applyAlignment="1" applyProtection="1">
      <alignment horizontal="center" vertical="center"/>
      <protection hidden="1"/>
    </xf>
    <xf numFmtId="176" fontId="48" fillId="11" borderId="0" xfId="0" applyNumberFormat="1" applyFont="1" applyFill="1" applyAlignment="1" applyProtection="1">
      <alignment horizontal="center" vertical="center"/>
      <protection hidden="1"/>
    </xf>
    <xf numFmtId="177" fontId="49" fillId="0" borderId="52" xfId="0" applyNumberFormat="1" applyFont="1" applyFill="1" applyBorder="1" applyAlignment="1" applyProtection="1">
      <alignment horizontal="center" vertical="center"/>
      <protection hidden="1"/>
    </xf>
    <xf numFmtId="0" fontId="48" fillId="0" borderId="0" xfId="0" applyFont="1" applyFill="1" applyAlignment="1" applyProtection="1">
      <alignment vertical="center"/>
      <protection hidden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 xr9:uid="{833FE1FC-0004-43D4-A543-5BA126F6BFAD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 xr9:uid="{214C5231-DD7A-4F61-AB8B-77E8D20FB27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 xr9:uid="{84DF8579-B81C-44E0-A3A1-4A8AA84B42BC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 xr9:uid="{FAE3D0B3-EEF7-4CBB-907E-66503E11491D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 xr9:uid="{2158CFBF-5AFC-46BC-A702-1E1076545D2B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 xr9:uid="{C902AAC9-B6E1-4D12-A033-6BE8B30FD28D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 xr9:uid="{8E51559D-5389-4291-BD35-BC979BEFA11F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 xr9:uid="{17291104-58DC-424C-9AF0-C36110AD17F1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 xr9:uid="{DEB3D36B-A93B-4B82-8F93-A34BB6398216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 xr9:uid="{A6722FA5-881A-4B28-A38D-7C3E6E70130F}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 xr9:uid="{77D679DE-D069-4369-84DD-BDCACAC40324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 xr9:uid="{1D4DC1F7-AD91-4F53-AA0E-CEBC168EBD56}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 xr9:uid="{02B64708-F9DC-4EF5-8539-3AEACAC0AC34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 xr9:uid="{680FBA10-9AA4-4478-AA83-92FE9DA570E9}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 xr9:uid="{7BA04817-77BD-4D71-98C0-EEE489F99F4B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 xr9:uid="{A32CBB11-D8FF-438F-A6AB-58A1BCC364CE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 xr9:uid="{E263A92B-C182-4D09-968B-9C50947276BD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 xr9:uid="{C549FBAA-D741-4A9D-9630-932A74A1721E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 xr9:uid="{23399AE0-CE41-4934-BDFA-0AD89909954E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 xr9:uid="{98AB332B-4425-492F-B2DD-D7B3627C0303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 xr9:uid="{2FCF36C8-622B-4DB3-B56B-91E3B07D5E23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 xr9:uid="{A213D8D6-D471-4CE1-80FA-58EC20F99FDF}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 xr9:uid="{73456855-B936-44E9-A567-DC8F3B5219DD}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 xr9:uid="{FC4DAF6C-41FC-478E-AF3F-CA80F0092B0A}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 xr9:uid="{9ADE0C1A-F796-420C-935E-E878C417AAB9}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 xr9:uid="{E5A99266-6B5F-4124-9588-DFFC138D0B07}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 xr9:uid="{588BD354-3F3F-44AB-B924-05446A6828C7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 xr9:uid="{848138E9-D0B8-41CE-B708-C8C92A361497}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 xr9:uid="{8B50C074-B298-47E9-A32C-CC2CCDEAC461}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 xr9:uid="{3D04537A-B781-41DF-AB00-0D62D796FD96}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486344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511681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488122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513459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931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41215" y="5080"/>
          <a:ext cx="347345" cy="290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90" zoomScaleNormal="90" topLeftCell="D1" workbookViewId="0">
      <pane ySplit="2" topLeftCell="A3" activePane="bottomLeft" state="frozen"/>
      <selection/>
      <selection pane="bottomLeft" activeCell="S5" sqref="S5"/>
    </sheetView>
  </sheetViews>
  <sheetFormatPr defaultColWidth="9" defaultRowHeight="12.75"/>
  <cols>
    <col min="1" max="1" width="18.6637168141593" style="120" customWidth="1"/>
    <col min="2" max="2" width="31.7787610619469" style="121" customWidth="1"/>
    <col min="3" max="3" width="13.0884955752212" style="122" customWidth="1"/>
    <col min="4" max="4" width="10.6637168141593" style="122" customWidth="1"/>
    <col min="5" max="6" width="21.3362831858407" style="122" customWidth="1"/>
    <col min="7" max="7" width="9.63716814159292" style="122" customWidth="1"/>
    <col min="8" max="8" width="14.8938053097345" style="122" customWidth="1"/>
    <col min="9" max="9" width="15.5575221238938" style="122" customWidth="1"/>
    <col min="10" max="10" width="15.7787610619469" style="122" customWidth="1"/>
    <col min="11" max="11" width="11.9734513274336" style="123" customWidth="1"/>
    <col min="12" max="12" width="9.75221238938053" style="124" customWidth="1"/>
    <col min="13" max="13" width="9.74336283185841" style="125" customWidth="1"/>
    <col min="14" max="14" width="1.89380530973451" style="126" customWidth="1"/>
    <col min="15" max="15" width="10.6637168141593" style="127"/>
    <col min="16" max="16" width="9" style="127"/>
    <col min="17" max="17" width="10" style="127" customWidth="1"/>
    <col min="18" max="16384" width="9" style="127"/>
  </cols>
  <sheetData>
    <row r="1" ht="40" customHeight="1" spans="1:21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1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1">
      <c r="A3" s="137" t="s">
        <v>16</v>
      </c>
      <c r="B3" s="138" t="s">
        <v>17</v>
      </c>
      <c r="C3" s="138" t="s">
        <v>18</v>
      </c>
      <c r="D3" s="138" t="s">
        <v>19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IF(AND($O$3&lt;=1500,$O$4&lt;=0.5,($O$5+$O$6+$O$7)&lt;=90,$O$5&lt;=60,$O$6&lt;=60,$O$7&lt;=60),L3*46.8+3.12,"")</f>
        <v>7.8</v>
      </c>
      <c r="L3" s="143">
        <f t="shared" ref="L3:L11" si="0">$O$4</f>
        <v>0.1</v>
      </c>
      <c r="M3" s="144"/>
      <c r="N3" s="145"/>
      <c r="O3" s="146">
        <v>1500</v>
      </c>
      <c r="P3" s="147" t="s">
        <v>26</v>
      </c>
      <c r="Q3" s="147"/>
    </row>
    <row r="4" s="118" customFormat="1" ht="32" customHeight="1" spans="1:21">
      <c r="A4" s="148"/>
      <c r="B4" s="138" t="s">
        <v>27</v>
      </c>
      <c r="C4" s="138" t="s">
        <v>18</v>
      </c>
      <c r="D4" s="138" t="s">
        <v>28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IF(AND($O$3&lt;=1500,$O$4&lt;=0.5,($O$5+$O$6+$O$7)&lt;=90,$O$5&lt;=60,$O$6&lt;=60,$O$7&lt;=60),L4*36.4+3.12,"")</f>
        <v>6.76</v>
      </c>
      <c r="L4" s="143">
        <f t="shared" si="0"/>
        <v>0.1</v>
      </c>
      <c r="M4" s="144"/>
      <c r="N4" s="145"/>
      <c r="O4" s="146">
        <v>0.1</v>
      </c>
      <c r="P4" s="151" t="s">
        <v>30</v>
      </c>
      <c r="Q4" s="151"/>
    </row>
    <row r="5" s="118" customFormat="1" ht="32" customHeight="1" spans="1:21">
      <c r="A5" s="148"/>
      <c r="B5" s="138" t="s">
        <v>31</v>
      </c>
      <c r="C5" s="138" t="s">
        <v>18</v>
      </c>
      <c r="D5" s="138" t="s">
        <v>32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IF(AND($O$3&lt;=1500,$O$4&lt;=0.5,($O$5+$O$6+$O$7)&lt;=90,$O$5&lt;=60,$O$6&lt;=60,$O$7&lt;=60),L5*26+3.12,"")</f>
        <v>5.72</v>
      </c>
      <c r="L5" s="143">
        <f t="shared" si="0"/>
        <v>0.1</v>
      </c>
      <c r="M5" s="144"/>
      <c r="N5" s="145"/>
      <c r="O5" s="146">
        <v>10</v>
      </c>
      <c r="P5" s="152" t="s">
        <v>34</v>
      </c>
      <c r="Q5" s="153"/>
    </row>
    <row r="6" s="118" customFormat="1" ht="32" customHeight="1" spans="1:21">
      <c r="A6" s="137" t="s">
        <v>35</v>
      </c>
      <c r="B6" s="138" t="s">
        <v>36</v>
      </c>
      <c r="C6" s="138" t="s">
        <v>18</v>
      </c>
      <c r="D6" s="138" t="s">
        <v>19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IF(AND($O$3&lt;=1500,$O$4&gt;0.5,$O$4&lt;=30,($O$5+$O$6+$O$7)&lt;=150,$O$5&lt;=60,$O$6&lt;=60,$O$7&lt;=60),L6*34.32+23.92,"")</f>
        <v/>
      </c>
      <c r="L6" s="143">
        <f t="shared" si="0"/>
        <v>0.1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1">
      <c r="A7" s="148"/>
      <c r="B7" s="138" t="s">
        <v>41</v>
      </c>
      <c r="C7" s="138" t="s">
        <v>18</v>
      </c>
      <c r="D7" s="138" t="s">
        <v>28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IF(AND($O$3&lt;=1500,$O$4&gt;0.5,$O$4&lt;=30,($O$5+$O$6+$O$7)&lt;=150,$O$5&lt;=60,$O$6&lt;=60,$O$7&lt;=60),L7*26+23.92,"")</f>
        <v/>
      </c>
      <c r="L7" s="143">
        <f t="shared" si="0"/>
        <v>0.1</v>
      </c>
      <c r="M7" s="144"/>
      <c r="N7" s="145"/>
      <c r="O7" s="154">
        <v>10</v>
      </c>
      <c r="P7" s="155" t="s">
        <v>43</v>
      </c>
      <c r="Q7" s="156"/>
    </row>
    <row r="8" s="118" customFormat="1" ht="32" customHeight="1" spans="1:21">
      <c r="A8" s="148"/>
      <c r="B8" s="138" t="s">
        <v>44</v>
      </c>
      <c r="C8" s="138" t="s">
        <v>18</v>
      </c>
      <c r="D8" s="138" t="s">
        <v>32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IF(AND($O$3&lt;=1500,$O$4&gt;0.5,$O$4&lt;=30,($O$5+$O$6+$O$7)&lt;=150,$O$5&lt;=60,$O$6&lt;=60,$O$7&lt;=60),L8*17.68+23.92,"")</f>
        <v/>
      </c>
      <c r="L8" s="143">
        <f t="shared" si="0"/>
        <v>0.1</v>
      </c>
      <c r="M8" s="144"/>
      <c r="N8" s="145"/>
      <c r="O8" s="158">
        <f>O5+O6+O7</f>
        <v>30</v>
      </c>
      <c r="P8" s="155" t="s">
        <v>46</v>
      </c>
      <c r="Q8" s="156"/>
    </row>
    <row r="9" s="118" customFormat="1" ht="32" customHeight="1" spans="1:21">
      <c r="A9" s="137" t="s">
        <v>47</v>
      </c>
      <c r="B9" s="138" t="s">
        <v>48</v>
      </c>
      <c r="C9" s="138" t="s">
        <v>18</v>
      </c>
      <c r="D9" s="138" t="s">
        <v>19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IF(AND($O$3&gt;1500,$O$3&lt;=7000,$O$4&lt;=2,($O$5+$O$6+$O$7)&lt;=150,$O$5&lt;=60,$O$6&lt;=60,$O$7&lt;=60),L9*46.8+16.64,"")</f>
        <v/>
      </c>
      <c r="L9" s="143">
        <f t="shared" si="0"/>
        <v>0.1</v>
      </c>
      <c r="M9" s="144"/>
      <c r="N9" s="145"/>
      <c r="O9" s="159">
        <f>$O$4/($O$5*$O$6*$O$7/1000000)</f>
        <v>100</v>
      </c>
      <c r="P9" s="152" t="s">
        <v>53</v>
      </c>
      <c r="Q9" s="153"/>
    </row>
    <row r="10" s="118" customFormat="1" ht="32" customHeight="1" spans="1:21">
      <c r="A10" s="148"/>
      <c r="B10" s="138" t="s">
        <v>54</v>
      </c>
      <c r="C10" s="138" t="s">
        <v>18</v>
      </c>
      <c r="D10" s="138" t="s">
        <v>28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IF(AND($O$3&gt;1500,$O$3&lt;=7000,$O$4&lt;=2,($O$5+$O$6+$O$7)&lt;=150,$O$5&lt;=60,$O$6&lt;=60,$O$7&lt;=60),L10*36.4+16.64,"")</f>
        <v/>
      </c>
      <c r="L10" s="143">
        <f t="shared" si="0"/>
        <v>0.1</v>
      </c>
      <c r="M10" s="144"/>
      <c r="N10" s="145"/>
      <c r="R10" s="160"/>
      <c r="S10" s="160"/>
      <c r="T10" s="161"/>
      <c r="U10" s="161"/>
    </row>
    <row r="11" s="118" customFormat="1" ht="32" customHeight="1" spans="1:21">
      <c r="A11" s="148"/>
      <c r="B11" s="138" t="s">
        <v>56</v>
      </c>
      <c r="C11" s="138" t="s">
        <v>18</v>
      </c>
      <c r="D11" s="138" t="s">
        <v>32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IF(AND($O$3&gt;1500,$O$3&lt;=7000,$O$4&lt;=2,($O$5+$O$6+$O$7)&lt;=150,$O$5&lt;=60,$O$6&lt;=60,$O$7&lt;=60),L11*26+16.64,"")</f>
        <v/>
      </c>
      <c r="L11" s="143">
        <f t="shared" si="0"/>
        <v>0.1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1">
      <c r="A12" s="163" t="s">
        <v>59</v>
      </c>
      <c r="B12" s="138" t="s">
        <v>60</v>
      </c>
      <c r="C12" s="138" t="s">
        <v>18</v>
      </c>
      <c r="D12" s="138" t="s">
        <v>28</v>
      </c>
      <c r="E12" s="138" t="s">
        <v>61</v>
      </c>
      <c r="F12" s="186" t="s">
        <v>62</v>
      </c>
      <c r="G12" s="138"/>
      <c r="H12" s="149" t="s">
        <v>63</v>
      </c>
      <c r="I12" s="149" t="s">
        <v>64</v>
      </c>
      <c r="J12" s="150" t="s">
        <v>65</v>
      </c>
      <c r="K12" s="142" t="str">
        <f>IF(AND($O$3&gt;1500,$O$3&lt;=7000,$O$4&gt;2,$O$4&lt;=30,($O$5+$O$6+$O$7)&lt;=310,$O$5&lt;=150,$O$6&lt;=150,$O$7&lt;=150,L12&lt;=31),L12*26+37.44,"")</f>
        <v/>
      </c>
      <c r="L12" s="143">
        <f>IF(AND(M12&gt;$O$4,M12&lt;&gt;""),M12,$O$4)</f>
        <v>0.1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</row>
    <row r="13" s="118" customFormat="1" ht="32" customHeight="1" spans="1:21">
      <c r="A13" s="169"/>
      <c r="B13" s="138" t="s">
        <v>66</v>
      </c>
      <c r="C13" s="138" t="s">
        <v>18</v>
      </c>
      <c r="D13" s="138" t="s">
        <v>32</v>
      </c>
      <c r="E13" s="138" t="s">
        <v>67</v>
      </c>
      <c r="F13" s="186"/>
      <c r="G13" s="138"/>
      <c r="H13" s="149"/>
      <c r="I13" s="149"/>
      <c r="J13" s="150"/>
      <c r="K13" s="142" t="str">
        <f>IF(AND($O$3&gt;1500,$O$3&lt;=7000,$O$4&gt;2,$O$4&lt;=30,($O$5+$O$6+$O$7)&lt;=310,$O$5&lt;=150,$O$6&lt;=150,$O$7&lt;=150,L13&lt;=31),L13*17.68+37.44,"")</f>
        <v/>
      </c>
      <c r="L13" s="143">
        <f>IF(AND(M13&gt;$O$4,M13&lt;&gt;""),M13,$O$4)</f>
        <v>0.1</v>
      </c>
      <c r="M13" s="144" t="str">
        <f>IF(AND($O$3&gt;1500,$O$3&lt;=7000,$O$4&gt;2,$O$4&lt;=30,($O$5+$O$6+$O$7)&lt;=310,$O$5&lt;=150,$O$6&lt;=150,$O$7&lt;=150),$O$5*$O$6*$O$7/12000,"")</f>
        <v/>
      </c>
      <c r="N13" s="145"/>
      <c r="T13" s="161"/>
      <c r="U13" s="161"/>
    </row>
    <row r="14" s="118" customFormat="1" ht="32" customHeight="1" spans="1:21">
      <c r="A14" s="137" t="s">
        <v>68</v>
      </c>
      <c r="B14" s="138" t="s">
        <v>69</v>
      </c>
      <c r="C14" s="138" t="s">
        <v>18</v>
      </c>
      <c r="D14" s="138" t="s">
        <v>19</v>
      </c>
      <c r="E14" s="138" t="s">
        <v>70</v>
      </c>
      <c r="F14" s="138" t="s">
        <v>21</v>
      </c>
      <c r="G14" s="138"/>
      <c r="H14" s="140" t="s">
        <v>71</v>
      </c>
      <c r="I14" s="140" t="s">
        <v>72</v>
      </c>
      <c r="J14" s="141" t="s">
        <v>73</v>
      </c>
      <c r="K14" s="142" t="str">
        <f>IF(AND($O$3&gt;=7001,$O$3&lt;=250000,$O$4&lt;=5,($O$5+$O$6+$O$7)&lt;=250,$O$5&lt;=150,$O$6&lt;=150,$O$7&lt;=150),L14*46.8+22.88,"")</f>
        <v/>
      </c>
      <c r="L14" s="143">
        <f>$O$4</f>
        <v>0.1</v>
      </c>
      <c r="M14" s="173"/>
      <c r="N14" s="145"/>
      <c r="O14" s="172" t="s">
        <v>74</v>
      </c>
      <c r="P14" s="172"/>
      <c r="Q14" s="172"/>
      <c r="U14" s="161"/>
    </row>
    <row r="15" s="118" customFormat="1" ht="32" customHeight="1" spans="1:21">
      <c r="A15" s="148"/>
      <c r="B15" s="138" t="s">
        <v>75</v>
      </c>
      <c r="C15" s="138" t="s">
        <v>18</v>
      </c>
      <c r="D15" s="138" t="s">
        <v>28</v>
      </c>
      <c r="E15" s="138" t="s">
        <v>76</v>
      </c>
      <c r="F15" s="138"/>
      <c r="G15" s="138"/>
      <c r="H15" s="149"/>
      <c r="I15" s="149"/>
      <c r="J15" s="150"/>
      <c r="K15" s="142" t="str">
        <f>IF(AND($O$3&gt;=7001,$O$3&lt;=250000,$O$4&lt;=5,($O$5+$O$6+$O$7)&lt;=250,$O$5&lt;=150,$O$6&lt;=150,$O$7&lt;=150),L15*36.4+22.88,"")</f>
        <v/>
      </c>
      <c r="L15" s="143">
        <f>$O$4</f>
        <v>0.1</v>
      </c>
      <c r="M15" s="173"/>
      <c r="N15" s="145"/>
      <c r="O15" s="172"/>
      <c r="P15" s="172"/>
      <c r="Q15" s="172"/>
    </row>
    <row r="16" s="118" customFormat="1" ht="32" customHeight="1" spans="1:21">
      <c r="A16" s="148"/>
      <c r="B16" s="138" t="s">
        <v>77</v>
      </c>
      <c r="C16" s="138" t="s">
        <v>18</v>
      </c>
      <c r="D16" s="138" t="s">
        <v>32</v>
      </c>
      <c r="E16" s="138" t="s">
        <v>78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IF(AND($O$3&gt;=7001,$O$3&lt;=250000,$O$4&lt;=5,($O$5+$O$6+$O$7)&lt;=250,$O$5&lt;=150,$O$6&lt;=150,$O$7&lt;=150),L16*26+22.88,"")</f>
        <v/>
      </c>
      <c r="L16" s="143">
        <f>$O$4</f>
        <v>0.1</v>
      </c>
      <c r="M16" s="173"/>
      <c r="N16" s="145"/>
      <c r="O16" s="172"/>
      <c r="P16" s="172"/>
      <c r="Q16" s="172"/>
    </row>
    <row r="17" s="118" customFormat="1" ht="32" customHeight="1" spans="1:23">
      <c r="A17" s="163" t="s">
        <v>79</v>
      </c>
      <c r="B17" s="138" t="s">
        <v>80</v>
      </c>
      <c r="C17" s="138" t="s">
        <v>18</v>
      </c>
      <c r="D17" s="138" t="s">
        <v>28</v>
      </c>
      <c r="E17" s="138" t="s">
        <v>81</v>
      </c>
      <c r="F17" s="186" t="s">
        <v>62</v>
      </c>
      <c r="G17" s="138"/>
      <c r="H17" s="149" t="s">
        <v>82</v>
      </c>
      <c r="I17" s="149" t="s">
        <v>83</v>
      </c>
      <c r="J17" s="150" t="s">
        <v>84</v>
      </c>
      <c r="K17" s="142" t="str">
        <f>IF(AND($O$3&gt;=7001,$O$3&lt;=250000,$O$4&gt;5,$O$4&lt;=30,($O$5+$O$6+$O$7)&lt;=310,$O$5&lt;=150,$O$6&lt;=150,$O$7&lt;=150,L17&lt;=80),L17*29.12+64.48,"")</f>
        <v/>
      </c>
      <c r="L17" s="143">
        <f>IF(AND(M17&gt;$O$4,M17&lt;&gt;""),M17,$O$4)</f>
        <v>0.1</v>
      </c>
      <c r="M17" s="144" t="str">
        <f>IF(AND($O$3&gt;=7001,$O$3&lt;=250000,$O$4&gt;5,$O$4&lt;=30,($O$5+$O$6+$O$7)&lt;=310,$O$5&lt;=150,$O$6&lt;=150,$O$7&lt;=150),$O$5*$O$6*$O$7/12000,"")</f>
        <v/>
      </c>
      <c r="N17" s="145"/>
      <c r="O17" s="172"/>
      <c r="P17" s="172"/>
      <c r="Q17" s="172"/>
    </row>
    <row r="18" s="118" customFormat="1" ht="32" customHeight="1" spans="1:23">
      <c r="A18" s="169"/>
      <c r="B18" s="138" t="s">
        <v>85</v>
      </c>
      <c r="C18" s="138" t="s">
        <v>18</v>
      </c>
      <c r="D18" s="138" t="s">
        <v>32</v>
      </c>
      <c r="E18" s="138" t="s">
        <v>86</v>
      </c>
      <c r="F18" s="186"/>
      <c r="G18" s="138"/>
      <c r="H18" s="149"/>
      <c r="I18" s="149"/>
      <c r="J18" s="150"/>
      <c r="K18" s="142" t="str">
        <f>IF(AND($O$3&gt;=7001,$O$3&lt;=250000,$O$4&gt;5,$O$4&lt;=30,($O$5+$O$6+$O$7)&lt;=310,$O$5&lt;=150,$O$6&lt;=150,$O$7&lt;=150,L18&lt;=80),L18*23.92+64.48,"")</f>
        <v/>
      </c>
      <c r="L18" s="143">
        <f>IF(AND(M18&gt;$O$4,M18&lt;&gt;""),M18,$O$4)</f>
        <v>0.1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72"/>
      <c r="P18" s="172"/>
      <c r="Q18" s="172"/>
    </row>
    <row r="19" s="118" customFormat="1" ht="73" customHeight="1" spans="1:23">
      <c r="A19" s="148" t="s">
        <v>87</v>
      </c>
      <c r="B19" s="138" t="s">
        <v>88</v>
      </c>
      <c r="C19" s="138" t="s">
        <v>18</v>
      </c>
      <c r="D19" s="187" t="s">
        <v>89</v>
      </c>
      <c r="E19" s="138" t="s">
        <v>90</v>
      </c>
      <c r="F19" s="186" t="s">
        <v>91</v>
      </c>
      <c r="G19" s="188" t="s">
        <v>92</v>
      </c>
      <c r="H19" s="149" t="s">
        <v>93</v>
      </c>
      <c r="I19" s="149" t="s">
        <v>94</v>
      </c>
      <c r="J19" s="150" t="s">
        <v>65</v>
      </c>
      <c r="K19" s="142">
        <f>IF(AND($O$3&lt;=500000,$O$4&lt;=25,($O$5+$O$6+$O$7)&lt;=310,$O$5&lt;=150,$O$6&lt;=150,$O$7&lt;=150),ROUNDUP(L19,1)*96+19,"")</f>
        <v>28.6</v>
      </c>
      <c r="L19" s="143">
        <f>ROUNDUP(IF(AND(M19&gt;$O$4,M19&lt;&gt;""),M19,$O$4),1)</f>
        <v>0.1</v>
      </c>
      <c r="M19" s="144" t="str">
        <f>IF($O$8&gt;60,ROUNDUP($O$5*$O$6*$O$7/6000,1),"")</f>
        <v/>
      </c>
      <c r="N19" s="145"/>
    </row>
    <row r="20" s="119" customFormat="1" ht="20" customHeight="1" spans="1:23">
      <c r="A20" s="174" t="s">
        <v>95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6"/>
      <c r="L20" s="177"/>
      <c r="M20" s="178"/>
      <c r="N20" s="179"/>
      <c r="O20" s="118"/>
      <c r="P20" s="118"/>
      <c r="Q20" s="118"/>
      <c r="R20" s="118"/>
      <c r="S20" s="118"/>
    </row>
    <row r="21" s="119" customFormat="1" ht="20" customHeight="1" spans="1:23">
      <c r="A21" s="174" t="s">
        <v>96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</row>
    <row r="22" s="119" customFormat="1" ht="20" customHeight="1" spans="1:23">
      <c r="A22" s="180" t="s">
        <v>97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2"/>
      <c r="L22" s="183"/>
      <c r="M22" s="184"/>
      <c r="N22" s="179"/>
    </row>
    <row r="23" s="119" customFormat="1" ht="20" customHeight="1" spans="1:23">
      <c r="A23" s="180" t="s">
        <v>98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99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85"/>
    </row>
    <row r="25" s="119" customFormat="1" ht="20" customHeight="1" spans="1:23">
      <c r="A25" s="180" t="s">
        <v>100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79"/>
    </row>
    <row r="26" ht="15.75" spans="1:23">
      <c r="R26" s="119"/>
      <c r="S26" s="119"/>
      <c r="T26" s="118"/>
      <c r="U26" s="118"/>
      <c r="V26" s="118"/>
      <c r="W26" s="118"/>
    </row>
    <row r="27" ht="15.75" spans="1:23">
      <c r="R27" s="118"/>
      <c r="S27" s="118"/>
      <c r="T27" s="118"/>
      <c r="U27" s="118"/>
      <c r="V27" s="118"/>
      <c r="W27" s="118"/>
    </row>
    <row r="28" ht="15.75" spans="1:23">
      <c r="R28" s="118"/>
      <c r="S28" s="118"/>
      <c r="T28" s="118"/>
      <c r="U28" s="118"/>
      <c r="V28" s="118"/>
      <c r="W28" s="118"/>
    </row>
    <row r="29" ht="15.75" spans="1:23">
      <c r="P29" s="118"/>
      <c r="Q29" s="118"/>
      <c r="T29" s="118"/>
      <c r="U29" s="118"/>
      <c r="V29" s="118"/>
      <c r="W29" s="118"/>
    </row>
    <row r="30" ht="15.75" spans="1:23">
      <c r="U30" s="118"/>
    </row>
  </sheetData>
  <sheetProtection algorithmName="SHA-512" hashValue="1AVRHJvKAkZG2k5kjpBlzhYHmvcEJSVPmLY6rxDG5mFhmBLkKGXf4j+RODubw4JPcF/fyCYH1+OqKtvjfvjPfw==" saltValue="ysa+D9x3bGivorlTZAlxX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zoomScale="90" zoomScaleNormal="90" topLeftCell="E1" workbookViewId="0">
      <pane ySplit="2" topLeftCell="A3" activePane="bottomLeft" state="frozen"/>
      <selection/>
      <selection pane="bottomLeft" activeCell="F15" sqref="F15:F17"/>
    </sheetView>
  </sheetViews>
  <sheetFormatPr defaultColWidth="9" defaultRowHeight="12.75"/>
  <cols>
    <col min="1" max="1" width="18.6637168141593" style="120" customWidth="1"/>
    <col min="2" max="2" width="31.7787610619469" style="121" customWidth="1"/>
    <col min="3" max="3" width="13.3362831858407" style="122" customWidth="1"/>
    <col min="4" max="4" width="10.6637168141593" style="122" customWidth="1"/>
    <col min="5" max="6" width="21.3362831858407" style="122" customWidth="1"/>
    <col min="7" max="7" width="9.63716814159292" style="122" customWidth="1"/>
    <col min="8" max="8" width="14.8938053097345" style="122" customWidth="1"/>
    <col min="9" max="9" width="15.5575221238938" style="122" customWidth="1"/>
    <col min="10" max="10" width="15.7787610619469" style="122" customWidth="1"/>
    <col min="11" max="11" width="11.9734513274336" style="123" customWidth="1"/>
    <col min="12" max="12" width="9.75221238938053" style="124" customWidth="1"/>
    <col min="13" max="13" width="9.74336283185841" style="125" customWidth="1"/>
    <col min="14" max="14" width="1.89380530973451" style="126" customWidth="1"/>
    <col min="15" max="15" width="10.6637168141593" style="127"/>
    <col min="16" max="16" width="9" style="127"/>
    <col min="17" max="17" width="10" style="127" customWidth="1"/>
    <col min="18" max="16384" width="9" style="127"/>
  </cols>
  <sheetData>
    <row r="1" ht="40" customHeight="1" spans="1:2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3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3">
      <c r="A3" s="137" t="s">
        <v>16</v>
      </c>
      <c r="B3" s="138" t="s">
        <v>17</v>
      </c>
      <c r="C3" s="138" t="s">
        <v>18</v>
      </c>
      <c r="D3" s="138" t="s">
        <v>101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IF(AND($O$3&lt;=1500,$O$4&lt;=0.5,($O$5+$O$6+$O$7)&lt;=90,$O$5&lt;=60,$O$6&lt;=60,$O$7&lt;=60),L3*46.8+3.12,"")</f>
        <v>7.8</v>
      </c>
      <c r="L3" s="143">
        <f t="shared" ref="L3:L14" si="0">$O$4</f>
        <v>0.1</v>
      </c>
      <c r="M3" s="144"/>
      <c r="N3" s="145"/>
      <c r="O3" s="146">
        <v>1500</v>
      </c>
      <c r="P3" s="147" t="s">
        <v>26</v>
      </c>
      <c r="Q3" s="147"/>
    </row>
    <row r="4" s="118" customFormat="1" ht="32" customHeight="1" spans="1:23">
      <c r="A4" s="148"/>
      <c r="B4" s="138" t="s">
        <v>27</v>
      </c>
      <c r="C4" s="138" t="s">
        <v>18</v>
      </c>
      <c r="D4" s="138" t="s">
        <v>102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IF(AND($O$3&lt;=1500,$O$4&lt;=0.5,($O$5+$O$6+$O$7)&lt;=90,$O$5&lt;=60,$O$6&lt;=60,$O$7&lt;=60),L4*36.4+3.12,"")</f>
        <v>6.76</v>
      </c>
      <c r="L4" s="143">
        <f t="shared" si="0"/>
        <v>0.1</v>
      </c>
      <c r="M4" s="144"/>
      <c r="N4" s="145"/>
      <c r="O4" s="146">
        <v>0.1</v>
      </c>
      <c r="P4" s="151" t="s">
        <v>30</v>
      </c>
      <c r="Q4" s="151"/>
    </row>
    <row r="5" s="118" customFormat="1" ht="32" customHeight="1" spans="1:23">
      <c r="A5" s="148"/>
      <c r="B5" s="138" t="s">
        <v>31</v>
      </c>
      <c r="C5" s="138" t="s">
        <v>18</v>
      </c>
      <c r="D5" s="138" t="s">
        <v>103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IF(AND($O$3&lt;=1500,$O$4&lt;=0.5,($O$5+$O$6+$O$7)&lt;=90,$O$5&lt;=60,$O$6&lt;=60,$O$7&lt;=60),L5*26+3.12,"")</f>
        <v>5.72</v>
      </c>
      <c r="L5" s="143">
        <f t="shared" si="0"/>
        <v>0.1</v>
      </c>
      <c r="M5" s="144"/>
      <c r="N5" s="145"/>
      <c r="O5" s="146">
        <v>10</v>
      </c>
      <c r="P5" s="152" t="s">
        <v>34</v>
      </c>
      <c r="Q5" s="153"/>
    </row>
    <row r="6" s="118" customFormat="1" ht="32" customHeight="1" spans="1:23">
      <c r="A6" s="137" t="s">
        <v>35</v>
      </c>
      <c r="B6" s="138" t="s">
        <v>36</v>
      </c>
      <c r="C6" s="138" t="s">
        <v>18</v>
      </c>
      <c r="D6" s="138" t="s">
        <v>101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IF(AND($O$3&lt;=1500,$O$4&gt;0.5,$O$4&lt;=30,($O$5+$O$6+$O$7)&lt;=150,$O$5&lt;=60,$O$6&lt;=60,$O$7&lt;=60),L6*34.32+23.92,"")</f>
        <v/>
      </c>
      <c r="L6" s="143">
        <f t="shared" si="0"/>
        <v>0.1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3">
      <c r="A7" s="148"/>
      <c r="B7" s="138" t="s">
        <v>41</v>
      </c>
      <c r="C7" s="138" t="s">
        <v>18</v>
      </c>
      <c r="D7" s="138" t="s">
        <v>102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IF(AND($O$3&lt;=1500,$O$4&gt;0.5,$O$4&lt;=30,($O$5+$O$6+$O$7)&lt;=150,$O$5&lt;=60,$O$6&lt;=60,$O$7&lt;=60),L7*26+23.92,"")</f>
        <v/>
      </c>
      <c r="L7" s="143">
        <f t="shared" si="0"/>
        <v>0.1</v>
      </c>
      <c r="M7" s="144"/>
      <c r="N7" s="145"/>
      <c r="O7" s="154">
        <v>10</v>
      </c>
      <c r="P7" s="155" t="s">
        <v>43</v>
      </c>
      <c r="Q7" s="156"/>
    </row>
    <row r="8" s="118" customFormat="1" ht="32" customHeight="1" spans="1:23">
      <c r="A8" s="148"/>
      <c r="B8" s="138" t="s">
        <v>44</v>
      </c>
      <c r="C8" s="138" t="s">
        <v>18</v>
      </c>
      <c r="D8" s="138" t="s">
        <v>103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IF(AND($O$3&lt;=1500,$O$4&gt;0.5,$O$4&lt;=30,($O$5+$O$6+$O$7)&lt;=150,$O$5&lt;=60,$O$6&lt;=60,$O$7&lt;=60),L8*17.68+23.92,"")</f>
        <v/>
      </c>
      <c r="L8" s="143">
        <f t="shared" si="0"/>
        <v>0.1</v>
      </c>
      <c r="M8" s="144"/>
      <c r="N8" s="145"/>
      <c r="O8" s="158">
        <f>O5+O6+O7</f>
        <v>30</v>
      </c>
      <c r="P8" s="155" t="s">
        <v>46</v>
      </c>
      <c r="Q8" s="156"/>
    </row>
    <row r="9" s="118" customFormat="1" ht="32" customHeight="1" spans="1:23">
      <c r="A9" s="137" t="s">
        <v>47</v>
      </c>
      <c r="B9" s="138" t="s">
        <v>48</v>
      </c>
      <c r="C9" s="138" t="s">
        <v>18</v>
      </c>
      <c r="D9" s="138" t="s">
        <v>101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IF(AND($O$3&gt;1500,$O$3&lt;=7000,$O$4&lt;=2,($O$5+$O$6+$O$7)&lt;=150,$O$5&lt;=60,$O$6&lt;=60,$O$7&lt;=60),L9*46.8+16.64,"")</f>
        <v/>
      </c>
      <c r="L9" s="143">
        <f t="shared" si="0"/>
        <v>0.1</v>
      </c>
      <c r="M9" s="144"/>
      <c r="N9" s="145"/>
      <c r="O9" s="159">
        <f>$O$4/($O$5*$O$6*$O$7/1000000)</f>
        <v>100</v>
      </c>
      <c r="P9" s="152" t="s">
        <v>53</v>
      </c>
      <c r="Q9" s="153"/>
    </row>
    <row r="10" s="118" customFormat="1" ht="32" customHeight="1" spans="1:23">
      <c r="A10" s="148"/>
      <c r="B10" s="138" t="s">
        <v>54</v>
      </c>
      <c r="C10" s="138" t="s">
        <v>18</v>
      </c>
      <c r="D10" s="138" t="s">
        <v>102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IF(AND($O$3&gt;1500,$O$3&lt;=7000,$O$4&lt;=2,($O$5+$O$6+$O$7)&lt;=150,$O$5&lt;=60,$O$6&lt;=60,$O$7&lt;=60),L10*36.4+16.64,"")</f>
        <v/>
      </c>
      <c r="L10" s="143">
        <f t="shared" si="0"/>
        <v>0.1</v>
      </c>
      <c r="M10" s="144"/>
      <c r="N10" s="145"/>
      <c r="R10" s="160"/>
      <c r="S10" s="160"/>
      <c r="T10" s="161"/>
      <c r="U10" s="161"/>
    </row>
    <row r="11" s="118" customFormat="1" ht="32" customHeight="1" spans="1:23">
      <c r="A11" s="148"/>
      <c r="B11" s="138" t="s">
        <v>56</v>
      </c>
      <c r="C11" s="138" t="s">
        <v>18</v>
      </c>
      <c r="D11" s="138" t="s">
        <v>103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IF(AND($O$3&gt;1500,$O$3&lt;=7000,$O$4&lt;=2,($O$5+$O$6+$O$7)&lt;=150,$O$5&lt;=60,$O$6&lt;=60,$O$7&lt;=60),L11*26+16.64,"")</f>
        <v/>
      </c>
      <c r="L11" s="143">
        <f t="shared" si="0"/>
        <v>0.1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3">
      <c r="A12" s="163" t="s">
        <v>59</v>
      </c>
      <c r="B12" s="138" t="s">
        <v>104</v>
      </c>
      <c r="C12" s="138" t="s">
        <v>18</v>
      </c>
      <c r="D12" s="138" t="s">
        <v>101</v>
      </c>
      <c r="E12" s="164" t="s">
        <v>105</v>
      </c>
      <c r="F12" s="165" t="s">
        <v>62</v>
      </c>
      <c r="G12" s="138"/>
      <c r="H12" s="166" t="s">
        <v>63</v>
      </c>
      <c r="I12" s="166" t="s">
        <v>64</v>
      </c>
      <c r="J12" s="167" t="s">
        <v>65</v>
      </c>
      <c r="K12" s="142" t="str">
        <f>IF(AND($O$3&gt;1500,$O$3&lt;=7000,$O$4&gt;2,$O$4&lt;=30,($O$5+$O$6+$O$7)&lt;=310,$O$5&lt;=150,$O$6&lt;=150,$O$7&lt;=150,L12&lt;=31),L12*34.32+37.44,"")</f>
        <v/>
      </c>
      <c r="L12" s="143">
        <f>IF(AND(M12&gt;$O$4,M12&lt;&gt;""),M12,$O$4)</f>
        <v>0.1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8"/>
      <c r="S12" s="168"/>
      <c r="T12" s="161"/>
      <c r="U12" s="161"/>
      <c r="V12" s="127"/>
      <c r="W12" s="127"/>
    </row>
    <row r="13" s="118" customFormat="1" ht="32" customHeight="1" spans="1:23">
      <c r="A13" s="169"/>
      <c r="B13" s="138" t="s">
        <v>60</v>
      </c>
      <c r="C13" s="138" t="s">
        <v>18</v>
      </c>
      <c r="D13" s="138" t="s">
        <v>102</v>
      </c>
      <c r="E13" s="138" t="s">
        <v>61</v>
      </c>
      <c r="F13" s="139"/>
      <c r="G13" s="138"/>
      <c r="H13" s="170"/>
      <c r="I13" s="170"/>
      <c r="J13" s="171"/>
      <c r="K13" s="142" t="str">
        <f>IF(AND($O$3&gt;1500,$O$3&lt;=7000,$O$4&gt;2,$O$4&lt;=30,($O$5+$O$6+$O$7)&lt;=310,$O$5&lt;=150,$O$6&lt;=150,$O$7&lt;=150,L13&lt;=31),L13*26+37.44,"")</f>
        <v/>
      </c>
      <c r="L13" s="143">
        <f>IF(AND(M13&gt;$O$4,M13&lt;&gt;""),M13,$O$4)</f>
        <v>0.1</v>
      </c>
      <c r="M13" s="144" t="str">
        <f>IF(AND($O$3&gt;1500,$O$3&lt;=7000,$O$4&gt;2,$O$4&lt;=30,($O$5+$O$6+$O$7)&lt;=310,$O$5&lt;=150,$O$6&lt;=150,$O$7&lt;=150),$O$5*$O$6*$O$7/12000,"")</f>
        <v/>
      </c>
      <c r="N13" s="145"/>
      <c r="R13" s="168"/>
      <c r="S13" s="168"/>
      <c r="T13" s="161"/>
      <c r="U13" s="161"/>
    </row>
    <row r="14" s="118" customFormat="1" ht="32" customHeight="1" spans="1:23">
      <c r="A14" s="169"/>
      <c r="B14" s="138" t="s">
        <v>66</v>
      </c>
      <c r="C14" s="138" t="s">
        <v>18</v>
      </c>
      <c r="D14" s="138" t="s">
        <v>103</v>
      </c>
      <c r="E14" s="138" t="s">
        <v>67</v>
      </c>
      <c r="F14" s="139"/>
      <c r="G14" s="138"/>
      <c r="H14" s="170"/>
      <c r="I14" s="170"/>
      <c r="J14" s="171"/>
      <c r="K14" s="142" t="str">
        <f>IF(AND($O$3&gt;1500,$O$3&lt;=7000,$O$4&gt;2,$O$4&lt;=30,($O$5+$O$6+$O$7)&lt;=310,$O$5&lt;=150,$O$6&lt;=150,$O$7&lt;=150,L14&lt;=31),L14*17.68+37.44,"")</f>
        <v/>
      </c>
      <c r="L14" s="143">
        <f>IF(AND(M14&gt;$O$4,M14&lt;&gt;""),M14,$O$4)</f>
        <v>0.1</v>
      </c>
      <c r="M14" s="144" t="str">
        <f>IF(AND($O$3&gt;1500,$O$3&lt;=7000,$O$4&gt;2,$O$4&lt;=30,($O$5+$O$6+$O$7)&lt;=310,$O$5&lt;=150,$O$6&lt;=150,$O$7&lt;=150),$O$5*$O$6*$O$7/12000,"")</f>
        <v/>
      </c>
      <c r="N14" s="145"/>
      <c r="O14" s="172" t="s">
        <v>74</v>
      </c>
      <c r="P14" s="172"/>
      <c r="Q14" s="172"/>
      <c r="T14" s="161"/>
      <c r="U14" s="161"/>
    </row>
    <row r="15" s="118" customFormat="1" ht="32" customHeight="1" spans="1:23">
      <c r="A15" s="137" t="s">
        <v>68</v>
      </c>
      <c r="B15" s="138" t="s">
        <v>69</v>
      </c>
      <c r="C15" s="138" t="s">
        <v>18</v>
      </c>
      <c r="D15" s="138" t="s">
        <v>101</v>
      </c>
      <c r="E15" s="138" t="s">
        <v>70</v>
      </c>
      <c r="F15" s="138" t="s">
        <v>21</v>
      </c>
      <c r="G15" s="138"/>
      <c r="H15" s="140" t="s">
        <v>71</v>
      </c>
      <c r="I15" s="140" t="s">
        <v>72</v>
      </c>
      <c r="J15" s="141" t="s">
        <v>73</v>
      </c>
      <c r="K15" s="142" t="str">
        <f>IF(AND($O$3&gt;=7001,$O$3&lt;=250000,$O$4&lt;=5,($O$5+$O$6+$O$7)&lt;=250,$O$5&lt;=150,$O$6&lt;=150,$O$7&lt;=150),L15*46.8+22.88,"")</f>
        <v/>
      </c>
      <c r="L15" s="143">
        <f>$O$4</f>
        <v>0.1</v>
      </c>
      <c r="M15" s="173"/>
      <c r="N15" s="145"/>
      <c r="O15" s="172"/>
      <c r="P15" s="172"/>
      <c r="Q15" s="172"/>
      <c r="U15" s="161"/>
    </row>
    <row r="16" s="118" customFormat="1" ht="32" customHeight="1" spans="1:23">
      <c r="A16" s="148"/>
      <c r="B16" s="138" t="s">
        <v>75</v>
      </c>
      <c r="C16" s="138" t="s">
        <v>18</v>
      </c>
      <c r="D16" s="138" t="s">
        <v>102</v>
      </c>
      <c r="E16" s="138" t="s">
        <v>76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IF(AND($O$3&gt;=7001,$O$3&lt;=250000,$O$4&lt;=5,($O$5+$O$6+$O$7)&lt;=250,$O$5&lt;=150,$O$6&lt;=150,$O$7&lt;=150),L16*36.4+22.88,"")</f>
        <v/>
      </c>
      <c r="L16" s="143">
        <f>$O$4</f>
        <v>0.1</v>
      </c>
      <c r="M16" s="173"/>
      <c r="N16" s="145"/>
      <c r="O16" s="172"/>
      <c r="P16" s="172"/>
      <c r="Q16" s="172"/>
    </row>
    <row r="17" s="118" customFormat="1" ht="32" customHeight="1" spans="1:23">
      <c r="A17" s="148"/>
      <c r="B17" s="138" t="s">
        <v>77</v>
      </c>
      <c r="C17" s="138" t="s">
        <v>18</v>
      </c>
      <c r="D17" s="138" t="s">
        <v>103</v>
      </c>
      <c r="E17" s="138" t="s">
        <v>78</v>
      </c>
      <c r="F17" s="138"/>
      <c r="G17" s="138"/>
      <c r="H17" s="149"/>
      <c r="I17" s="149"/>
      <c r="J17" s="150"/>
      <c r="K17" s="142" t="str">
        <f>IF(AND($O$3&gt;=7001,$O$3&lt;=250000,$O$4&lt;=5,($O$5+$O$6+$O$7)&lt;=250,$O$5&lt;=150,$O$6&lt;=150,$O$7&lt;=150),L17*26+22.88,"")</f>
        <v/>
      </c>
      <c r="L17" s="143">
        <f>$O$4</f>
        <v>0.1</v>
      </c>
      <c r="M17" s="173"/>
      <c r="N17" s="145"/>
      <c r="O17" s="168"/>
      <c r="P17" s="168"/>
      <c r="Q17" s="168"/>
    </row>
    <row r="18" s="118" customFormat="1" ht="32" customHeight="1" spans="1:23">
      <c r="A18" s="163" t="s">
        <v>79</v>
      </c>
      <c r="B18" s="138" t="s">
        <v>106</v>
      </c>
      <c r="C18" s="138" t="s">
        <v>18</v>
      </c>
      <c r="D18" s="138" t="s">
        <v>101</v>
      </c>
      <c r="E18" s="164" t="s">
        <v>107</v>
      </c>
      <c r="F18" s="165" t="s">
        <v>62</v>
      </c>
      <c r="G18" s="138"/>
      <c r="H18" s="166" t="s">
        <v>82</v>
      </c>
      <c r="I18" s="166" t="s">
        <v>83</v>
      </c>
      <c r="J18" s="167" t="s">
        <v>84</v>
      </c>
      <c r="K18" s="142" t="str">
        <f>IF(AND($O$3&gt;=7001,$O$3&lt;=250000,$O$4&gt;5,$O$4&lt;=30,($O$5+$O$6+$O$7)&lt;=310,$O$5&lt;=150,$O$6&lt;=150,$O$7&lt;=150,L18&lt;=80),L18*34.32+64.48,"")</f>
        <v/>
      </c>
      <c r="L18" s="143">
        <f>IF(AND(M18&gt;$O$4,M18&lt;&gt;""),M18,$O$4)</f>
        <v>0.1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68"/>
      <c r="P18" s="168"/>
      <c r="Q18" s="168"/>
    </row>
    <row r="19" s="118" customFormat="1" ht="32" customHeight="1" spans="1:23">
      <c r="A19" s="169"/>
      <c r="B19" s="138" t="s">
        <v>80</v>
      </c>
      <c r="C19" s="138" t="s">
        <v>18</v>
      </c>
      <c r="D19" s="138" t="s">
        <v>102</v>
      </c>
      <c r="E19" s="138" t="s">
        <v>81</v>
      </c>
      <c r="F19" s="139"/>
      <c r="G19" s="138"/>
      <c r="H19" s="170"/>
      <c r="I19" s="170"/>
      <c r="J19" s="171"/>
      <c r="K19" s="142" t="str">
        <f>IF(AND($O$3&gt;=7001,$O$3&lt;=250000,$O$4&gt;5,$O$4&lt;=30,($O$5+$O$6+$O$7)&lt;=310,$O$5&lt;=150,$O$6&lt;=150,$O$7&lt;=150,L19&lt;=80),L19*29.12+64.48,"")</f>
        <v/>
      </c>
      <c r="L19" s="143">
        <f>IF(AND(M19&gt;$O$4,M19&lt;&gt;""),M19,$O$4)</f>
        <v>0.1</v>
      </c>
      <c r="M19" s="144" t="str">
        <f>IF(AND($O$3&gt;=7001,$O$3&lt;=250000,$O$4&gt;5,$O$4&lt;=30,($O$5+$O$6+$O$7)&lt;=310,$O$5&lt;=150,$O$6&lt;=150,$O$7&lt;=150),$O$5*$O$6*$O$7/12000,"")</f>
        <v/>
      </c>
      <c r="N19" s="145"/>
      <c r="O19" s="168"/>
      <c r="P19" s="168"/>
      <c r="Q19" s="168"/>
    </row>
    <row r="20" s="118" customFormat="1" ht="32" customHeight="1" spans="1:23">
      <c r="A20" s="169"/>
      <c r="B20" s="138" t="s">
        <v>85</v>
      </c>
      <c r="C20" s="138" t="s">
        <v>18</v>
      </c>
      <c r="D20" s="138" t="s">
        <v>103</v>
      </c>
      <c r="E20" s="138" t="s">
        <v>86</v>
      </c>
      <c r="F20" s="139"/>
      <c r="G20" s="138"/>
      <c r="H20" s="170"/>
      <c r="I20" s="170"/>
      <c r="J20" s="171"/>
      <c r="K20" s="142" t="str">
        <f>IF(AND($O$3&gt;=7001,$O$3&lt;=250000,$O$4&gt;5,$O$4&lt;=30,($O$5+$O$6+$O$7)&lt;=310,$O$5&lt;=150,$O$6&lt;=150,$O$7&lt;=150,L20&lt;=80),L20*23.92+64.48,"")</f>
        <v/>
      </c>
      <c r="L20" s="143">
        <f>IF(AND(M20&gt;$O$4,M20&lt;&gt;""),M20,$O$4)</f>
        <v>0.1</v>
      </c>
      <c r="M20" s="144" t="str">
        <f>IF(AND($O$3&gt;=7001,$O$3&lt;=250000,$O$4&gt;5,$O$4&lt;=30,($O$5+$O$6+$O$7)&lt;=310,$O$5&lt;=150,$O$6&lt;=150,$O$7&lt;=150),$O$5*$O$6*$O$7/12000,"")</f>
        <v/>
      </c>
      <c r="N20" s="145"/>
    </row>
    <row r="21" s="119" customFormat="1" ht="20" customHeight="1" spans="1:23">
      <c r="A21" s="174" t="s">
        <v>95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6"/>
      <c r="L21" s="177"/>
      <c r="M21" s="178"/>
      <c r="N21" s="179"/>
      <c r="O21" s="118"/>
      <c r="P21" s="118"/>
      <c r="Q21" s="118"/>
      <c r="R21" s="118"/>
      <c r="S21" s="118"/>
    </row>
    <row r="22" s="119" customFormat="1" ht="20" customHeight="1" spans="1:23">
      <c r="A22" s="174" t="s">
        <v>96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6"/>
      <c r="L22" s="177"/>
      <c r="M22" s="178"/>
      <c r="N22" s="179"/>
    </row>
    <row r="23" s="119" customFormat="1" ht="20" customHeight="1" spans="1:23">
      <c r="A23" s="180" t="s">
        <v>97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2"/>
      <c r="L23" s="183"/>
      <c r="M23" s="184"/>
      <c r="N23" s="179"/>
    </row>
    <row r="24" s="119" customFormat="1" ht="20" customHeight="1" spans="1:23">
      <c r="A24" s="180" t="s">
        <v>98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2"/>
      <c r="L24" s="183"/>
      <c r="M24" s="184"/>
      <c r="N24" s="179"/>
    </row>
    <row r="25" s="119" customFormat="1" ht="20" customHeight="1" spans="1:23">
      <c r="A25" s="180" t="s">
        <v>99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2"/>
      <c r="L25" s="183"/>
      <c r="M25" s="184"/>
      <c r="N25" s="185"/>
    </row>
    <row r="26" s="119" customFormat="1" ht="20" customHeight="1" spans="1:23">
      <c r="A26" s="180" t="s">
        <v>100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2"/>
      <c r="L26" s="183"/>
      <c r="M26" s="184"/>
      <c r="N26" s="179"/>
    </row>
    <row r="27" ht="15.75" spans="1:23">
      <c r="O27" s="119"/>
      <c r="P27" s="119"/>
      <c r="Q27" s="119"/>
      <c r="R27" s="119"/>
      <c r="S27" s="119"/>
      <c r="T27" s="118"/>
      <c r="U27" s="118"/>
      <c r="V27" s="118"/>
      <c r="W27" s="118"/>
    </row>
    <row r="28" ht="15.75" spans="1:23">
      <c r="R28" s="118"/>
      <c r="S28" s="118"/>
      <c r="T28" s="118"/>
      <c r="U28" s="118"/>
      <c r="V28" s="118"/>
      <c r="W28" s="118"/>
    </row>
    <row r="29" ht="15.75" spans="1:23">
      <c r="R29" s="118"/>
      <c r="S29" s="118"/>
      <c r="T29" s="118"/>
      <c r="U29" s="118"/>
      <c r="V29" s="118"/>
      <c r="W29" s="118"/>
    </row>
    <row r="30" ht="15.75" spans="1:23">
      <c r="T30" s="118"/>
      <c r="U30" s="118"/>
      <c r="V30" s="118"/>
      <c r="W30" s="118"/>
    </row>
    <row r="31" ht="15.75" spans="1:23">
      <c r="U31" s="118"/>
    </row>
  </sheetData>
  <sheetProtection algorithmName="SHA-512" hashValue="+O/Ws7ytzzDe1ynTkb0jEu/20o8VesT3QgOSmUbfiVXcL/BVu1kk6/i39wNeXEmapucjBEZ+d+cAKdbhG2+CzA==" saltValue="hHTBNZrPnPrKDMJjtLCrMQ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90" zoomScaleNormal="90" topLeftCell="B1" workbookViewId="0">
      <selection activeCell="N8" sqref="N8"/>
    </sheetView>
  </sheetViews>
  <sheetFormatPr defaultColWidth="8.89380530973451" defaultRowHeight="12.75"/>
  <cols>
    <col min="1" max="1" width="40.6283185840708" style="109" customWidth="1"/>
    <col min="2" max="2" width="17.9646017699115" style="109" customWidth="1"/>
    <col min="3" max="3" width="21.4778761061947" style="110" customWidth="1"/>
    <col min="4" max="4" width="18.4070796460177" style="109" customWidth="1"/>
    <col min="5" max="5" width="28" style="109" customWidth="1"/>
    <col min="6" max="6" width="14.8672566371681" style="109" customWidth="1"/>
    <col min="7" max="7" width="12.9734513274336" style="109" customWidth="1"/>
    <col min="8" max="9" width="15.8053097345133" style="111" customWidth="1"/>
    <col min="10" max="10" width="15.5752212389381" style="112" customWidth="1"/>
    <col min="11" max="11" width="13.4513274336283" style="109" customWidth="1"/>
    <col min="12" max="12" width="10.8495575221239" style="110" customWidth="1"/>
    <col min="13" max="16384" width="8.89380530973451" style="109"/>
  </cols>
  <sheetData>
    <row r="1" s="109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3"/>
      <c r="N1" s="113"/>
    </row>
    <row r="2" s="109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  <c r="M2" s="113"/>
      <c r="N2" s="113"/>
    </row>
    <row r="3" s="109" customFormat="1" ht="21" customHeight="1" spans="1:14">
      <c r="A3" s="80" t="s">
        <v>118</v>
      </c>
      <c r="B3" s="81" t="s">
        <v>119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3">
        <f>L$5</f>
        <v>0.1</v>
      </c>
      <c r="J3" s="85">
        <f>IF(AND(L$5&gt;0,L$5&lt;=0.5,L$21&lt;=90,L$9&lt;=60,L$13&lt;=60,L$17&lt;=60,L$3&gt;0,L$3&lt;=1500),I3*36.4+3.12,"")</f>
        <v>6.76</v>
      </c>
      <c r="K3" s="81" t="s">
        <v>125</v>
      </c>
      <c r="L3" s="86">
        <v>1500</v>
      </c>
      <c r="M3" s="113"/>
      <c r="N3" s="113"/>
    </row>
    <row r="4" s="109" customFormat="1" ht="21" customHeight="1" spans="1:14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4:I26" si="0">L$5</f>
        <v>0.1</v>
      </c>
      <c r="J4" s="90">
        <f>IF(AND(L$5&gt;0,L$5&lt;=0.5,L$21&lt;=90,L$9&lt;=60,L$13&lt;=60,L$17&lt;=60,L$3&gt;0,L$3&lt;=1500),I4*26+3.12,"")</f>
        <v>5.72</v>
      </c>
      <c r="K4" s="88"/>
      <c r="L4" s="91"/>
      <c r="M4" s="114"/>
      <c r="N4" s="114"/>
    </row>
    <row r="5" s="109" customFormat="1" ht="21" customHeight="1" spans="1:14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IF(AND(L$5&gt;0.5,L$5&lt;=30,L$21&lt;=150,L$9&lt;=60,L$13&lt;=60,L$17&lt;=60,L$3&gt;0,L$3&lt;=1500),I5*26+23.92,"")</f>
        <v/>
      </c>
      <c r="K5" s="88" t="s">
        <v>132</v>
      </c>
      <c r="L5" s="91">
        <v>0.1</v>
      </c>
    </row>
    <row r="6" s="109" customFormat="1" ht="21" customHeight="1" spans="1:14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IF(AND(L$5&gt;0.5,L$5&lt;=30,L$21&lt;=150,L$9&lt;=60,L$13&lt;=60,L$17&lt;=60,L$3&gt;0,L$3&lt;=1500),I6*17.68+23.92,"")</f>
        <v/>
      </c>
      <c r="K6" s="88"/>
      <c r="L6" s="91"/>
    </row>
    <row r="7" s="109" customFormat="1" ht="21" customHeight="1" spans="1:14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IF(AND(L$5&gt;0,L$5&lt;=2,L$21&lt;=150,L$17&lt;=60,L$13&lt;=60,L$9&lt;=60,L$3&gt;1500,L$3&lt;=7000),I7*36.4+16.64,"")</f>
        <v/>
      </c>
      <c r="K7" s="88"/>
      <c r="L7" s="91"/>
    </row>
    <row r="8" s="109" customFormat="1" ht="21" customHeight="1" spans="1:14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IF(AND(L$5&gt;0,L$5&lt;=2,L$21&lt;=150,L$17&lt;=60,L$13&lt;=60,L$9&lt;=60,L$3&gt;1500,L$3&lt;=7000),I8*26+16.64,"")</f>
        <v/>
      </c>
      <c r="K8" s="88"/>
      <c r="L8" s="91"/>
    </row>
    <row r="9" s="109" customFormat="1" ht="21" customHeight="1" spans="1:14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IF(AND(L$5&gt;2,L$5&lt;=30,L$21&lt;=310,L$9&lt;=150,L$13&lt;=150,L$17&lt;=150,L$3&gt;1501,L$3&lt;=7000),L$9*L$13*L$17/12000,"")</f>
        <v/>
      </c>
      <c r="I9" s="84">
        <f>IF(AND(H$9&gt;L$5,H9&lt;&gt;""),H$9,L$5)</f>
        <v>0.1</v>
      </c>
      <c r="J9" s="90" t="str">
        <f>IF(AND(L$5&gt;2,L$5&lt;=30,L$21&lt;=310,L$9&lt;=150,L$13&lt;=150,L$17&lt;=150,L$3&gt;1500,L$3&lt;=7000),I9*26+37.44,"")</f>
        <v/>
      </c>
      <c r="K9" s="88" t="s">
        <v>146</v>
      </c>
      <c r="L9" s="91">
        <v>10</v>
      </c>
    </row>
    <row r="10" s="109" customFormat="1" ht="21" customHeight="1" spans="1:14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IF(AND(L$5&gt;2,L$5&lt;=30,L$21&lt;=310,L$9&lt;=150,L$13&lt;=150,L$17&lt;=150,L$3&gt;1501,L$3&lt;=7000),L$9*L$13*L$17/12000,"")</f>
        <v/>
      </c>
      <c r="I10" s="84">
        <f>IF(AND(H$10&gt;L$5,H10&lt;&gt;""),H$10,L$5)</f>
        <v>0.1</v>
      </c>
      <c r="J10" s="90" t="str">
        <f>IF(AND(L$5&gt;2,L$5&lt;=30,L$21&lt;=310,L$9&lt;=150,L$13&lt;=150,L$17&lt;=150,L$3&gt;1500,L$3&lt;=7000),I10*17.68+37.44,"")</f>
        <v/>
      </c>
      <c r="K10" s="88"/>
      <c r="L10" s="91"/>
    </row>
    <row r="11" s="109" customFormat="1" ht="21" customHeight="1" spans="1:14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 t="shared" si="0"/>
        <v>0.1</v>
      </c>
      <c r="J11" s="90" t="str">
        <f>IF(AND(L$5&gt;0,L$5&lt;=5,L$21&lt;=250,L$9&lt;=150,L$13&lt;=150,L$17&lt;=150,L$3&gt;7000,L$3&lt;=18000),I11*36.4+22.88,"")</f>
        <v/>
      </c>
      <c r="K11" s="88"/>
      <c r="L11" s="91"/>
    </row>
    <row r="12" s="109" customFormat="1" ht="21" customHeight="1" spans="1:14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 t="shared" si="0"/>
        <v>0.1</v>
      </c>
      <c r="J12" s="90" t="str">
        <f>IF(AND(L$5&gt;0,L$5&lt;=5,L$21&lt;=250,L$9&lt;=150,L$13&lt;=150,L$17&lt;=150,L$3&gt;7000,L$3&lt;=18000),I12*26+22.88,"")</f>
        <v/>
      </c>
      <c r="K12" s="88"/>
      <c r="L12" s="91"/>
    </row>
    <row r="13" s="109" customFormat="1" ht="21" customHeight="1" spans="1:14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IF(AND(L$5&gt;5,L$5&lt;=30,L$21&lt;=310,L$9&lt;=150,L$13&lt;=150,L$17&lt;=150,L$3&gt;7000,L$3&lt;=18000),L$9*L$13*L$17/12000,"")</f>
        <v/>
      </c>
      <c r="I13" s="84">
        <f>IF(AND(H$13&gt;L$5,H13&lt;&gt;""),H$13,L$5)</f>
        <v>0.1</v>
      </c>
      <c r="J13" s="90" t="str">
        <f>IF(AND(L$5&gt;5,L$5&lt;=30,L$21&lt;=310,L$9&lt;=150,L$13&lt;=150,L$17&lt;=150,L$3&gt;7000,L$3&lt;=18000,I13&lt;=80),I13*29.12+64.48,"")</f>
        <v/>
      </c>
      <c r="K13" s="88" t="s">
        <v>159</v>
      </c>
      <c r="L13" s="91">
        <v>10</v>
      </c>
    </row>
    <row r="14" s="109" customFormat="1" ht="21" customHeight="1" spans="1:14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IF(AND(L$5&gt;5,L$5&lt;=30,L$21&lt;=310,L$9&lt;=150,L$13&lt;=150,L$17&lt;=150,L$3&gt;7000,L$3&lt;=18000),L$9*L$13*L$17/12000,"")</f>
        <v/>
      </c>
      <c r="I14" s="84">
        <f>IF(AND(H$14&gt;L$5,H14&lt;&gt;""),H$14,L$5)</f>
        <v>0.1</v>
      </c>
      <c r="J14" s="90" t="str">
        <f>IF(AND(L$5&gt;5,L$5&lt;=30,L$21&lt;=310,L$9&lt;=150,L$13&lt;=150,L$17&lt;=150,L$3&gt;7000,L$3&lt;=18000,I14&lt;=80),I14*23.92+64.48,"")</f>
        <v/>
      </c>
      <c r="K14" s="88"/>
      <c r="L14" s="91"/>
    </row>
    <row r="15" s="109" customFormat="1" ht="21" customHeight="1" spans="1:14">
      <c r="A15" s="87" t="s">
        <v>162</v>
      </c>
      <c r="B15" s="88" t="s">
        <v>163</v>
      </c>
      <c r="C15" s="82" t="s">
        <v>120</v>
      </c>
      <c r="D15" s="88" t="s">
        <v>121</v>
      </c>
      <c r="E15" s="88" t="s">
        <v>122</v>
      </c>
      <c r="F15" s="88" t="s">
        <v>123</v>
      </c>
      <c r="G15" s="88" t="s">
        <v>124</v>
      </c>
      <c r="H15" s="84"/>
      <c r="I15" s="84">
        <f t="shared" si="0"/>
        <v>0.1</v>
      </c>
      <c r="J15" s="90">
        <f>IF(AND(L$5&gt;0,L$5&lt;=0.5,L$21&lt;=90,L$9&lt;=60,L$13&lt;=60,L$17&lt;=60,L$3&gt;0,L$3&lt;=1500),I15*36.4+3.12,"")</f>
        <v>6.76</v>
      </c>
      <c r="K15" s="88"/>
      <c r="L15" s="91"/>
    </row>
    <row r="16" s="109" customFormat="1" ht="21" customHeight="1" spans="1:14">
      <c r="A16" s="87" t="s">
        <v>164</v>
      </c>
      <c r="B16" s="88"/>
      <c r="C16" s="89" t="s">
        <v>127</v>
      </c>
      <c r="D16" s="88"/>
      <c r="E16" s="88"/>
      <c r="F16" s="88"/>
      <c r="G16" s="88"/>
      <c r="H16" s="84"/>
      <c r="I16" s="84">
        <f t="shared" si="0"/>
        <v>0.1</v>
      </c>
      <c r="J16" s="90">
        <f>IF(AND(L$5&gt;0,L$5&lt;=0.5,L$21&lt;=90,L$9&lt;=60,L$13&lt;=60,L$17&lt;=60,L$3&gt;0,L$3&lt;=1500),I16*26+3.12,"")</f>
        <v>5.72</v>
      </c>
      <c r="K16" s="88"/>
      <c r="L16" s="91"/>
    </row>
    <row r="17" s="109" customFormat="1" ht="21" customHeight="1" spans="1:12">
      <c r="A17" s="87" t="s">
        <v>165</v>
      </c>
      <c r="B17" s="88"/>
      <c r="C17" s="89" t="s">
        <v>129</v>
      </c>
      <c r="D17" s="88" t="s">
        <v>130</v>
      </c>
      <c r="E17" s="88" t="s">
        <v>131</v>
      </c>
      <c r="F17" s="88"/>
      <c r="G17" s="88"/>
      <c r="H17" s="84"/>
      <c r="I17" s="84">
        <f t="shared" si="0"/>
        <v>0.1</v>
      </c>
      <c r="J17" s="90" t="str">
        <f>IF(AND(L$5&gt;0.5,L$5&lt;=30,L$21&lt;=150,L$9&lt;=60,L$13&lt;=60,L$17&lt;=60,L$3&gt;0,L$3&lt;=1500),I17*26+23.92,"")</f>
        <v/>
      </c>
      <c r="K17" s="88" t="s">
        <v>166</v>
      </c>
      <c r="L17" s="91">
        <v>10</v>
      </c>
    </row>
    <row r="18" s="109" customFormat="1" ht="21" customHeight="1" spans="1:12">
      <c r="A18" s="87" t="s">
        <v>167</v>
      </c>
      <c r="B18" s="88"/>
      <c r="C18" s="89" t="s">
        <v>134</v>
      </c>
      <c r="D18" s="88"/>
      <c r="E18" s="88"/>
      <c r="F18" s="88"/>
      <c r="G18" s="88"/>
      <c r="H18" s="84"/>
      <c r="I18" s="84">
        <f t="shared" si="0"/>
        <v>0.1</v>
      </c>
      <c r="J18" s="90" t="str">
        <f>IF(AND(L$5&gt;0.5,L$5&lt;=30,L$21&lt;=150,L$9&lt;=60,L$13&lt;=60,L$17&lt;=60,L$3&gt;0,L$3&lt;=1500),I18*17.68+23.92,"")</f>
        <v/>
      </c>
      <c r="K18" s="88"/>
      <c r="L18" s="91"/>
    </row>
    <row r="19" s="109" customFormat="1" ht="21" customHeight="1" spans="1:12">
      <c r="A19" s="87" t="s">
        <v>168</v>
      </c>
      <c r="B19" s="88"/>
      <c r="C19" s="89" t="s">
        <v>136</v>
      </c>
      <c r="D19" s="88" t="s">
        <v>137</v>
      </c>
      <c r="E19" s="88"/>
      <c r="F19" s="88" t="s">
        <v>138</v>
      </c>
      <c r="G19" s="88" t="s">
        <v>139</v>
      </c>
      <c r="H19" s="84"/>
      <c r="I19" s="84">
        <f t="shared" si="0"/>
        <v>0.1</v>
      </c>
      <c r="J19" s="90" t="str">
        <f>IF(AND(L$5&gt;0,L$5&lt;=2,L$21&lt;=150,L$9&lt;=60,L$13&lt;=60,L$17&lt;=60,L$3&gt;1500,L$3&lt;=7000),I19*36.4+16.64,"")</f>
        <v/>
      </c>
      <c r="K19" s="88"/>
      <c r="L19" s="91"/>
    </row>
    <row r="20" s="109" customFormat="1" ht="21" customHeight="1" spans="1:12">
      <c r="A20" s="87" t="s">
        <v>169</v>
      </c>
      <c r="B20" s="88"/>
      <c r="C20" s="89" t="s">
        <v>141</v>
      </c>
      <c r="D20" s="88"/>
      <c r="E20" s="88"/>
      <c r="F20" s="88"/>
      <c r="G20" s="88"/>
      <c r="H20" s="84"/>
      <c r="I20" s="84">
        <f t="shared" si="0"/>
        <v>0.1</v>
      </c>
      <c r="J20" s="90" t="str">
        <f>IF(AND(L$5&gt;0,L$5&lt;=2,L$21&lt;=150,L$9&lt;=60,L$13&lt;=60,L$17&lt;=60,L$3&gt;1500,L$3&lt;=7000),I20*26+16.64,"")</f>
        <v/>
      </c>
      <c r="K20" s="88"/>
      <c r="L20" s="91"/>
    </row>
    <row r="21" ht="21" customHeight="1" spans="1:12">
      <c r="A21" s="87" t="s">
        <v>170</v>
      </c>
      <c r="B21" s="88"/>
      <c r="C21" s="89" t="s">
        <v>143</v>
      </c>
      <c r="D21" s="88" t="s">
        <v>144</v>
      </c>
      <c r="E21" s="92" t="s">
        <v>145</v>
      </c>
      <c r="F21" s="88"/>
      <c r="G21" s="88"/>
      <c r="H21" s="84" t="str">
        <f>IF(AND(L$5&gt;2,L$5&lt;=30,L$21&lt;=310,L$9&lt;=150,L$13&lt;=150,L$17&lt;=150,L$3&gt;1500,L$3&lt;=7000),L$9*L$13*L$17/12000,"")</f>
        <v/>
      </c>
      <c r="I21" s="84">
        <f>IF(AND(H$21&gt;L$5,H21&lt;&gt;""),H$21,L$5)</f>
        <v>0.1</v>
      </c>
      <c r="J21" s="90" t="str">
        <f>IF(AND(L$5&gt;2,L$5&lt;=30,L$21&lt;=310,L$9&lt;=150,L$13&lt;=150,L$17&lt;=150,L$3&gt;1500,L$3&lt;=7000),I21*26+37.44,"")</f>
        <v/>
      </c>
      <c r="K21" s="88" t="s">
        <v>171</v>
      </c>
      <c r="L21" s="100">
        <f>L9+L13+L17</f>
        <v>30</v>
      </c>
    </row>
    <row r="22" ht="21" customHeight="1" spans="1:12">
      <c r="A22" s="87" t="s">
        <v>172</v>
      </c>
      <c r="B22" s="88"/>
      <c r="C22" s="89" t="s">
        <v>148</v>
      </c>
      <c r="D22" s="88"/>
      <c r="E22" s="98"/>
      <c r="F22" s="88"/>
      <c r="G22" s="88"/>
      <c r="H22" s="84" t="str">
        <f>IF(AND(L$5&gt;2,L$5&lt;=30,L$21&lt;=310,L$9&lt;=150,L$13&lt;=150,L$17&lt;=150,L$3&gt;1500,L$3&lt;=7000),L$9*L$13*L$17/12000,"")</f>
        <v/>
      </c>
      <c r="I22" s="84">
        <f>IF(AND(H$22&gt;L$5,H22&lt;&gt;""),H$22,L$5)</f>
        <v>0.1</v>
      </c>
      <c r="J22" s="90" t="str">
        <f>IF(AND(L$5&gt;2,L$5&lt;=30,L$21&lt;=310,L$9&lt;=150,L$13&lt;=150,L$17&lt;=150,L$3&gt;1500,L$3&lt;=7000),I22*17.68+37.44,"")</f>
        <v/>
      </c>
      <c r="K22" s="88"/>
      <c r="L22" s="100"/>
    </row>
    <row r="23" ht="21" customHeight="1" spans="1:12">
      <c r="A23" s="87" t="s">
        <v>173</v>
      </c>
      <c r="B23" s="88"/>
      <c r="C23" s="89" t="s">
        <v>150</v>
      </c>
      <c r="D23" s="88" t="s">
        <v>151</v>
      </c>
      <c r="E23" s="92" t="s">
        <v>152</v>
      </c>
      <c r="F23" s="88" t="s">
        <v>153</v>
      </c>
      <c r="G23" s="88"/>
      <c r="H23" s="84"/>
      <c r="I23" s="84">
        <f t="shared" si="0"/>
        <v>0.1</v>
      </c>
      <c r="J23" s="90" t="str">
        <f>IF(AND(L$5&gt;0,L$5&lt;=5,L$21&lt;=250,L$9&lt;=150,L$13&lt;=150,L$17&lt;=150,L$3&gt;7000,L$3&lt;=18000),I23*36.4+22.88,"")</f>
        <v/>
      </c>
      <c r="K23" s="88"/>
      <c r="L23" s="100"/>
    </row>
    <row r="24" ht="21" customHeight="1" spans="1:12">
      <c r="A24" s="87" t="s">
        <v>174</v>
      </c>
      <c r="B24" s="88"/>
      <c r="C24" s="89" t="s">
        <v>155</v>
      </c>
      <c r="D24" s="88"/>
      <c r="E24" s="98"/>
      <c r="F24" s="88"/>
      <c r="G24" s="88"/>
      <c r="H24" s="84"/>
      <c r="I24" s="84">
        <f t="shared" si="0"/>
        <v>0.1</v>
      </c>
      <c r="J24" s="90" t="str">
        <f>IF(AND(L$5&gt;0,L$5&lt;=5,L$21&lt;=250,L$9&lt;=150,L$13&lt;=150,L$17&lt;=150,L$3&gt;7000,L$3&lt;=18000),I24*26+22.88,"")</f>
        <v/>
      </c>
      <c r="K24" s="88"/>
      <c r="L24" s="100"/>
    </row>
    <row r="25" ht="21" customHeight="1" spans="1:12">
      <c r="A25" s="87" t="s">
        <v>175</v>
      </c>
      <c r="B25" s="88"/>
      <c r="C25" s="89" t="s">
        <v>157</v>
      </c>
      <c r="D25" s="88" t="s">
        <v>158</v>
      </c>
      <c r="E25" s="88" t="s">
        <v>145</v>
      </c>
      <c r="F25" s="88"/>
      <c r="G25" s="88"/>
      <c r="H25" s="84" t="str">
        <f>IF(AND(L$5&gt;5,L$5&lt;=30,L$21&lt;=310,L$9&lt;=150,L$13&lt;=150,L$17&lt;=150,L$3&gt;7000,L$3&lt;=18000),L$9*L$13*L$17/12000,"")</f>
        <v/>
      </c>
      <c r="I25" s="84">
        <f>IF(AND(H$25&gt;L$5,H25&lt;&gt;""),H$25,L$5)</f>
        <v>0.1</v>
      </c>
      <c r="J25" s="90" t="str">
        <f>IF(AND(L$5&gt;5,L$5&lt;=30,L$21&lt;=310,L$9&lt;=150,L$13&lt;=150,L$17&lt;=150,L$3&gt;7000,L$3&lt;=18000,I25&lt;=80),I25*29.12+64.48,"")</f>
        <v/>
      </c>
      <c r="K25" s="88" t="s">
        <v>176</v>
      </c>
      <c r="L25" s="101">
        <f>L$5/(L9*L13*L17/1000000)</f>
        <v>100</v>
      </c>
    </row>
    <row r="26" ht="21" customHeight="1" spans="1:12">
      <c r="A26" s="87" t="s">
        <v>177</v>
      </c>
      <c r="B26" s="88"/>
      <c r="C26" s="89" t="s">
        <v>161</v>
      </c>
      <c r="D26" s="88"/>
      <c r="E26" s="88"/>
      <c r="F26" s="88"/>
      <c r="G26" s="88"/>
      <c r="H26" s="84" t="str">
        <f>IF(AND(L$5&gt;5,L$5&lt;=30,L$21&lt;=310,L$9&lt;=150,L$13&lt;=150,L$17&lt;=150,L$3&gt;7000,L$3&lt;=18000),L$9*L$13*L$17/12000,"")</f>
        <v/>
      </c>
      <c r="I26" s="84">
        <f>IF(AND(H$26&gt;L$5,H26&lt;&gt;""),H$26,L$5)</f>
        <v>0.1</v>
      </c>
      <c r="J26" s="90" t="str">
        <f>IF(AND(L$5&gt;5,L$5&lt;=30,L$21&lt;=310,L$9&lt;=150,L$13&lt;=150,L$17&lt;=150,L$3&gt;7000,L$3&lt;=18000,I26&lt;=80),I26*23.92+64.48,"")</f>
        <v/>
      </c>
      <c r="K26" s="88"/>
      <c r="L26" s="101"/>
    </row>
    <row r="27" ht="21" customHeight="1" spans="1:12">
      <c r="A27" s="102" t="s">
        <v>178</v>
      </c>
      <c r="B27" s="103"/>
      <c r="C27" s="104"/>
      <c r="D27" s="103"/>
      <c r="E27" s="103"/>
      <c r="F27" s="103"/>
      <c r="G27" s="103"/>
      <c r="H27" s="105"/>
      <c r="I27" s="105"/>
      <c r="J27" s="106"/>
      <c r="K27" s="103"/>
      <c r="L27" s="115"/>
    </row>
    <row r="31" spans="1:12">
      <c r="E31" s="116"/>
    </row>
  </sheetData>
  <sheetProtection algorithmName="SHA-512" hashValue="LvYnVK/Gm6dXWTRxwGxdr+v+NRAb26W2ftnKDsPaQACUcMppbvpAyMATQc+8IJLgG7d+9qGMLknf6yYgIi1TXA==" saltValue="OGQv0XijLwQPe5SV5mh9Jw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2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0"/>
    <mergeCell ref="E11:E12"/>
    <mergeCell ref="E13:E14"/>
    <mergeCell ref="E15:E16"/>
    <mergeCell ref="E17:E20"/>
    <mergeCell ref="E21:E22"/>
    <mergeCell ref="E23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K25 K23:L23 E5:H5 K5 K11:L11 G11:H11 D11 D15:H15 K15:L15 K27:L27 G23:H23 D23 B23 B1:L1 D3:H3 K3 E13:G13 B17 E17:H17 B25 E25:G25 K21:L21 B21 F21:G21 H19 K19:L19 D19:F19 B19 F9:G9 K9 K17 K13 H7 K7:L7 A7 D7:F7 A3 A2:F2 H2:L2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30" sqref="E30"/>
    </sheetView>
  </sheetViews>
  <sheetFormatPr defaultColWidth="9.02654867256637" defaultRowHeight="13.5"/>
  <cols>
    <col min="1" max="1" width="34.2300884955752" customWidth="1"/>
    <col min="2" max="2" width="19.1061946902655" customWidth="1"/>
    <col min="3" max="3" width="24.716814159292" customWidth="1"/>
    <col min="4" max="4" width="15.6371681415929" customWidth="1"/>
    <col min="5" max="5" width="31.8672566371681" customWidth="1"/>
    <col min="6" max="6" width="13.9469026548673" customWidth="1"/>
    <col min="7" max="7" width="14.3097345132743" customWidth="1"/>
    <col min="11" max="11" width="10.3274336283186" customWidth="1"/>
    <col min="12" max="12" width="8.03539823008849" customWidth="1"/>
  </cols>
  <sheetData>
    <row r="1" ht="22.8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1.5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</row>
    <row r="3" spans="1:12">
      <c r="A3" s="80" t="s">
        <v>118</v>
      </c>
      <c r="B3" s="81" t="s">
        <v>179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4">
        <f>L$5</f>
        <v>0.1</v>
      </c>
      <c r="J3" s="85">
        <f>IF(AND(L$5&gt;0,L$5&lt;=0.5,L$13&lt;=90,L$7&lt;=60,L$9&lt;=60,L$11&lt;=60,L$3&gt;0,L$3&lt;=1500),I3*36.4+3.12,"")</f>
        <v>6.76</v>
      </c>
      <c r="K3" s="81" t="s">
        <v>125</v>
      </c>
      <c r="L3" s="86">
        <v>1500</v>
      </c>
    </row>
    <row r="4" spans="1:12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3:I8" si="0">L$5</f>
        <v>0.1</v>
      </c>
      <c r="J4" s="90">
        <f>IF(AND(L$5&gt;0,L$5&lt;=0.5,L$7&lt;=90,L$9&lt;=60,L$11&lt;=60,L$13&lt;=60,L$3&gt;0,L$3&lt;=1500),I4*26+3.12,"")</f>
        <v>5.72</v>
      </c>
      <c r="K4" s="88"/>
      <c r="L4" s="91"/>
    </row>
    <row r="5" spans="1:12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IF(AND(L$5&gt;0.5,L$5&lt;=30,L$13&lt;=150,L$7&lt;=60,L$9&lt;=60,L$11&lt;=60,L$3&gt;0,L$3&lt;=1500),I5*26+23.92,"")</f>
        <v/>
      </c>
      <c r="K5" s="92" t="s">
        <v>132</v>
      </c>
      <c r="L5" s="93">
        <v>0.1</v>
      </c>
    </row>
    <row r="6" spans="1:12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IF(AND(L$5&gt;0.5,L$5&lt;=35,L$13&lt;=150,L$7&lt;=60,L$9&lt;=60,L$11&lt;=60,L$3&gt;0,L$3&lt;=1500),I6*17.68+23.92,"")</f>
        <v/>
      </c>
      <c r="K6" s="94"/>
      <c r="L6" s="95"/>
    </row>
    <row r="7" spans="1:12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IF(AND(L$5&gt;0,L$5&lt;=2,L$13&lt;=150,L$7&lt;=60,L$9&lt;=60,L$11&lt;=60,L$3&gt;1500,L$3&lt;=7000),I7*36.4+16.64,"")</f>
        <v/>
      </c>
      <c r="K7" s="96" t="s">
        <v>146</v>
      </c>
      <c r="L7" s="97">
        <v>10</v>
      </c>
    </row>
    <row r="8" spans="1:12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IF(AND(L$5&gt;0,L$5&lt;=2,L$13&lt;=150,L$7&lt;=60,L$9&lt;=60,L$11&lt;=60,L$3&gt;1500,L$3&lt;=7000),I8*26+16.64,"")</f>
        <v/>
      </c>
      <c r="K8" s="96"/>
      <c r="L8" s="97"/>
    </row>
    <row r="9" spans="1:12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IF(AND(L$5&gt;2,L$5&lt;=30,L$13&lt;=310,L$7&lt;=150,L$9&lt;=150,L$11&lt;=150,L$3&gt;1500,L$3&lt;=7000),L$7*L$9*L$11/12000,"")</f>
        <v/>
      </c>
      <c r="I9" s="84">
        <f>IF(AND(H$9&gt;L$5,H9&lt;&gt;""),H$9,L$5)</f>
        <v>0.1</v>
      </c>
      <c r="J9" s="90" t="str">
        <f>IF(AND(L$5&gt;2,L$5&lt;=30,L$13&lt;=310,L$7&lt;=150,L$9&lt;=150,L$11&lt;=150,L$3&gt;1500,L$3&lt;=7000),I9*26+37.44,"")</f>
        <v/>
      </c>
      <c r="K9" s="96" t="s">
        <v>159</v>
      </c>
      <c r="L9" s="97">
        <v>10</v>
      </c>
    </row>
    <row r="10" spans="1:12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IF(AND(L$5&gt;2,L$5&lt;=30,L$13&lt;=310,L$7&lt;=150,L$9&lt;=150,L$11&lt;=150,L$3&gt;1500,L$3&lt;=7000),L$7*L$9*L$11/12000,"")</f>
        <v/>
      </c>
      <c r="I10" s="84">
        <f>IF(AND(H$10&gt;L$5,H10&lt;&gt;""),H$10,L$5)</f>
        <v>0.1</v>
      </c>
      <c r="J10" s="90" t="str">
        <f>IF(AND(L$5&gt;2,L$5&lt;=30,L$13&lt;=310,L$7&lt;=150,L$9&lt;=150,L$11&lt;=150,L$3&gt;1500,L$3&lt;=7000),I10*17.68+37.44,"")</f>
        <v/>
      </c>
      <c r="K10" s="96"/>
      <c r="L10" s="97"/>
    </row>
    <row r="11" spans="1:12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>L$5</f>
        <v>0.1</v>
      </c>
      <c r="J11" s="90" t="str">
        <f>IF(AND(L$5&gt;0,L$5&lt;=5,L$13&lt;=250,L$7&lt;=150,L$9&lt;=150,L$11&lt;=150,L$3&gt;7000,L$3&lt;=18000),I11*36.4+22.88,"")</f>
        <v/>
      </c>
      <c r="K11" s="94" t="s">
        <v>166</v>
      </c>
      <c r="L11" s="95">
        <v>10</v>
      </c>
    </row>
    <row r="12" spans="1:12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>L$5</f>
        <v>0.1</v>
      </c>
      <c r="J12" s="90" t="str">
        <f>IF(AND(L$5&gt;0,L$5&lt;=5,L$13&lt;=250,L$7&lt;=150,L$9&lt;=150,L$11&lt;=150,L$3&gt;7000,L$3&lt;=18000),I12*26+22.88,"")</f>
        <v/>
      </c>
      <c r="K12" s="98"/>
      <c r="L12" s="99"/>
    </row>
    <row r="13" spans="1:12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IF(AND(L$5&gt;5,L$5&lt;=30,L$13&lt;=310,L$7&lt;=150,L$9&lt;=150,L$11&lt;=150,L$3&gt;7000,L$3&lt;=18000),L$7*L$9*L$11/12000,"")</f>
        <v/>
      </c>
      <c r="I13" s="84">
        <f>IF(AND(H$13&gt;L$5,H13&lt;&gt;""),H$13,L$5)</f>
        <v>0.1</v>
      </c>
      <c r="J13" s="90" t="str">
        <f>IF(AND(L$5&gt;5,L$5&lt;=30,L$13&lt;=310,L$7&lt;=150,L$9&lt;=150,L$11&lt;=150,L$3&gt;7000,L$3&lt;=18000,I13&lt;=80),I13*29.12+64.48,"")</f>
        <v/>
      </c>
      <c r="K13" s="88" t="s">
        <v>171</v>
      </c>
      <c r="L13" s="100">
        <f>L7+L9+L11</f>
        <v>30</v>
      </c>
    </row>
    <row r="14" spans="1:12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IF(AND(L$5&gt;5,L$5&lt;=30,L$13&lt;=310,L$7&lt;=150,L$9&lt;=150,L$11&lt;=150,L$3&gt;7000,L$3&lt;=18000),L$7*L$9*L$11/12000,"")</f>
        <v/>
      </c>
      <c r="I14" s="84">
        <f>IF(AND(H$14&gt;L$5,H14&lt;&gt;""),H$14,L$5)</f>
        <v>0.1</v>
      </c>
      <c r="J14" s="90" t="str">
        <f>IF(AND(L$5&gt;5,L$5&lt;=30,L$13&lt;=310,L$7&lt;=150,L$9&lt;=150,L$11&lt;=150,L$3&gt;7000,L$3&lt;=18000,I14&lt;=80),I14*23.92+64.48,"")</f>
        <v/>
      </c>
      <c r="K14" s="88" t="s">
        <v>176</v>
      </c>
      <c r="L14" s="101">
        <f>L$5/(L7*L9*L11/1000000)</f>
        <v>100</v>
      </c>
    </row>
    <row r="15" spans="1:12">
      <c r="A15" s="102" t="s">
        <v>178</v>
      </c>
      <c r="B15" s="103"/>
      <c r="C15" s="104"/>
      <c r="D15" s="103"/>
      <c r="E15" s="103"/>
      <c r="F15" s="103"/>
      <c r="G15" s="103"/>
      <c r="H15" s="105"/>
      <c r="I15" s="105"/>
      <c r="J15" s="106"/>
      <c r="K15" s="107"/>
      <c r="L15" s="108"/>
    </row>
  </sheetData>
  <sheetProtection algorithmName="SHA-512" hashValue="2XO7S8am2nfaKGfOElXTat8kAtQvt5ShbiR+/6WPYoSd6T7knmD9dj4PAbU7tVXYQVHNzGun6IQxmfoSNlu0CA==" saltValue="3BvLOZOwwqKJ78LzmXQ9/w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30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0"/>
    <mergeCell ref="E11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J3" sqref="J3:J5"/>
    </sheetView>
  </sheetViews>
  <sheetFormatPr defaultColWidth="9" defaultRowHeight="36" customHeight="1"/>
  <cols>
    <col min="1" max="1" width="20.7787610619469" style="38" customWidth="1"/>
    <col min="2" max="2" width="15.8938053097345" style="38" customWidth="1"/>
    <col min="3" max="3" width="11.5575221238938" style="38" customWidth="1"/>
    <col min="4" max="4" width="11.2212389380531" style="38" customWidth="1"/>
    <col min="5" max="5" width="16.7522123893805" style="38" customWidth="1"/>
    <col min="6" max="6" width="23.2212389380531" style="38" customWidth="1"/>
    <col min="7" max="7" width="28.5575221238938" style="38" customWidth="1"/>
    <col min="8" max="8" width="17.5044247787611" style="38" customWidth="1"/>
    <col min="9" max="9" width="24.7787610619469" style="38" customWidth="1"/>
    <col min="10" max="10" width="20.1327433628319" style="38" customWidth="1"/>
    <col min="11" max="11" width="16.2212389380531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45" t="s">
        <v>190</v>
      </c>
    </row>
    <row r="3" s="39" customFormat="1" ht="58" customHeight="1" spans="1:11">
      <c r="A3" s="46" t="s">
        <v>191</v>
      </c>
      <c r="B3" s="47" t="s">
        <v>192</v>
      </c>
      <c r="C3" s="48">
        <v>10</v>
      </c>
      <c r="D3" s="49" t="s">
        <v>193</v>
      </c>
      <c r="E3" s="50" t="s">
        <v>194</v>
      </c>
      <c r="F3" s="51" t="s">
        <v>195</v>
      </c>
      <c r="G3" s="48" t="s">
        <v>196</v>
      </c>
      <c r="H3" s="48">
        <f>IF(I3&lt;=20,I3*48+9,"")</f>
        <v>13.8</v>
      </c>
      <c r="I3" s="49">
        <f>CEILING(J3,0.1)</f>
        <v>0.1</v>
      </c>
      <c r="J3" s="52">
        <v>0.01</v>
      </c>
      <c r="K3" s="53" t="s">
        <v>197</v>
      </c>
    </row>
    <row r="4" s="39" customFormat="1" ht="58" customHeight="1" spans="1:11">
      <c r="A4" s="54" t="s">
        <v>198</v>
      </c>
      <c r="B4" s="55" t="s">
        <v>199</v>
      </c>
      <c r="C4" s="55">
        <v>20</v>
      </c>
      <c r="D4" s="49"/>
      <c r="E4" s="56" t="s">
        <v>200</v>
      </c>
      <c r="F4" s="57"/>
      <c r="G4" s="58" t="s">
        <v>201</v>
      </c>
      <c r="H4" s="58">
        <f>IF(I3&lt;=0.3,I3*58+2,"")</f>
        <v>7.8</v>
      </c>
      <c r="I4" s="49"/>
      <c r="J4" s="52"/>
      <c r="K4" s="53"/>
    </row>
    <row r="5" s="39" customFormat="1" ht="58" customHeight="1" spans="1:11">
      <c r="A5" s="59"/>
      <c r="B5" s="60"/>
      <c r="C5" s="60"/>
      <c r="D5" s="60"/>
      <c r="E5" s="61" t="s">
        <v>202</v>
      </c>
      <c r="F5" s="62"/>
      <c r="G5" s="63" t="s">
        <v>203</v>
      </c>
      <c r="H5" s="63" t="str">
        <f>IF(AND(I3&gt;0.3,I3&lt;=20),I3*43+8,"")</f>
        <v/>
      </c>
      <c r="I5" s="60"/>
      <c r="J5" s="64"/>
      <c r="K5" s="65"/>
    </row>
    <row r="6" s="40" customFormat="1" customHeight="1" spans="1:11">
      <c r="A6" s="66" t="s">
        <v>204</v>
      </c>
      <c r="C6" s="67"/>
      <c r="D6" s="67"/>
      <c r="E6" s="67"/>
      <c r="F6" s="67"/>
    </row>
    <row r="7" s="40" customFormat="1" customHeight="1" spans="1:11">
      <c r="A7" s="68" t="s">
        <v>205</v>
      </c>
      <c r="C7" s="69"/>
      <c r="D7" s="69"/>
      <c r="E7" s="69"/>
      <c r="F7" s="69"/>
    </row>
    <row r="8" s="40" customFormat="1" customHeight="1" spans="1:11">
      <c r="A8" s="70"/>
      <c r="F8" s="71"/>
    </row>
    <row r="9" s="40" customFormat="1" customHeight="1" spans="1:11">
      <c r="A9" s="72"/>
      <c r="B9" s="72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9" defaultRowHeight="27" customHeight="1"/>
  <cols>
    <col min="1" max="1" width="27.5044247787611" style="3" customWidth="1"/>
    <col min="2" max="2" width="17.0088495575221" style="3" customWidth="1"/>
    <col min="3" max="3" width="15.0088495575221" style="3" customWidth="1"/>
    <col min="4" max="4" width="40.8849557522124" style="4" customWidth="1"/>
    <col min="5" max="5" width="25.0088495575221" style="3" customWidth="1"/>
    <col min="6" max="6" width="23.6725663716814" style="3" customWidth="1"/>
    <col min="7" max="7" width="7.63716814159292" style="1" customWidth="1"/>
    <col min="8" max="8" width="11.5044247787611" style="3" customWidth="1"/>
    <col min="9" max="9" width="17.1327433628319" style="5" customWidth="1"/>
    <col min="10" max="254" width="17.1327433628319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9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9">
      <c r="A3" s="11" t="s">
        <v>210</v>
      </c>
      <c r="B3" s="12" t="s">
        <v>28</v>
      </c>
      <c r="C3" s="13" t="s">
        <v>211</v>
      </c>
      <c r="D3" s="13" t="s">
        <v>145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9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9">
      <c r="A5" s="17" t="s">
        <v>218</v>
      </c>
      <c r="B5" s="18" t="s">
        <v>28</v>
      </c>
      <c r="C5" s="19" t="s">
        <v>219</v>
      </c>
      <c r="D5" s="19" t="s">
        <v>145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9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9">
      <c r="A7" s="17" t="s">
        <v>223</v>
      </c>
      <c r="B7" s="18" t="s">
        <v>19</v>
      </c>
      <c r="C7" s="19" t="s">
        <v>211</v>
      </c>
      <c r="D7" s="19" t="s">
        <v>145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9">
      <c r="A8" s="23" t="s">
        <v>224</v>
      </c>
    </row>
    <row r="9" s="2" customFormat="1" ht="47" customHeight="1" spans="1:9">
      <c r="B9" s="24"/>
      <c r="C9" s="25"/>
      <c r="D9" s="26"/>
      <c r="E9" s="27"/>
      <c r="F9" s="28"/>
      <c r="G9" s="29"/>
      <c r="H9" s="27"/>
    </row>
    <row r="10" customFormat="1" ht="66" customHeight="1" spans="1:9">
      <c r="A10" s="30"/>
      <c r="B10" s="31"/>
      <c r="C10" s="30"/>
      <c r="D10" s="32"/>
      <c r="E10" s="33"/>
      <c r="F10" s="34"/>
      <c r="G10" s="35"/>
      <c r="H10" s="36"/>
    </row>
    <row r="12" customHeight="1" spans="1:9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1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3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7" master="" otherUserPermission="visible">
    <arrUserId title="区域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葡萄成熟就见你</cp:lastModifiedBy>
  <dcterms:created xsi:type="dcterms:W3CDTF">2023-05-12T11:15:00Z</dcterms:created>
  <dcterms:modified xsi:type="dcterms:W3CDTF">2026-05-23T06:19:54Z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42C443325FC846ABA3523A26334DCBE8_13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