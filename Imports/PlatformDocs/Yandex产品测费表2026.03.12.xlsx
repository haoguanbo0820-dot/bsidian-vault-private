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<sst xmlns="http://schemas.openxmlformats.org/spreadsheetml/2006/main" count="42" uniqueCount="37">
  <si>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 xml:space="preserve">            Yandex平台—CEL运费测算表</t>
  </si>
  <si>
    <t>CEL承运时效（天）</t>
  </si>
  <si>
    <t>最大限重</t>
  </si>
  <si>
    <t>尺寸限制</t>
  </si>
  <si>
    <t>费用（百克进位）</t>
  </si>
  <si>
    <t>总运费(卢布）</t>
  </si>
  <si>
    <t>价格试算</t>
  </si>
  <si>
    <t>数值</t>
  </si>
  <si>
    <t>测算基础值</t>
  </si>
  <si>
    <t>FBP</t>
  </si>
  <si>
    <t>Fbp-Express</t>
  </si>
  <si>
    <t>5-10天</t>
  </si>
  <si>
    <t>30KG内</t>
  </si>
  <si>
    <t>产品尺寸要求：长+宽+高≤310cm，单边≤150cm</t>
  </si>
  <si>
    <t>715卢布/kg + 161卢布/票</t>
  </si>
  <si>
    <t>←产品重量（KG)</t>
  </si>
  <si>
    <t>售价（RUB）</t>
  </si>
  <si>
    <t>rFBS</t>
  </si>
  <si>
    <t>rFBS-Express</t>
  </si>
  <si>
    <t>10-15天</t>
  </si>
  <si>
    <t>实重（KG）</t>
  </si>
  <si>
    <t>rFBS-Express Extra Small</t>
  </si>
  <si>
    <t>0.5KG以内</t>
  </si>
  <si>
    <t>550卢布/kg +78卢布/票</t>
  </si>
  <si>
    <t>长（CM）</t>
  </si>
  <si>
    <t>rFBS-Economy</t>
  </si>
  <si>
    <t>19-22天</t>
  </si>
  <si>
    <t>产品尺寸要求：长+宽+高≤450cm，单边≤150cm</t>
  </si>
  <si>
    <t>465卢布/kg + 161卢布/票</t>
  </si>
  <si>
    <t>宽（CM）</t>
  </si>
  <si>
    <t>rFBS-Economy Extra Small</t>
  </si>
  <si>
    <t>产品尺寸要求：长+宽+高≤90cm，单边≤60cm</t>
  </si>
  <si>
    <t>287卢布/kg +78卢布/票</t>
  </si>
  <si>
    <t>高（CM）</t>
  </si>
  <si>
    <t>三边尺寸之和</t>
  </si>
  <si>
    <t>密度(KG/M³)</t>
  </si>
  <si>
    <t xml:space="preserve">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</si>
</sst>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8">
    <font>
      <sz val="11"/>
      <color theme="1"/>
      <name val="宋体"/>
      <charset val="134"/>
      <scheme val="minor"/>
    </font>
    <font>
      <b/>
      <sz val="12"/>
      <color theme="4"/>
      <name val="宋体"/>
      <charset val="134"/>
      <scheme val="major"/>
    </font>
    <font>
      <b/>
      <sz val="12"/>
      <color rgb="FFFFFFFF"/>
      <name val="宋体"/>
      <charset val="134"/>
      <scheme val="major"/>
    </font>
    <font>
      <b/>
      <sz val="14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ajor"/>
    </font>
    <font>
      <sz val="12"/>
      <color rgb="FF000000"/>
      <name val="宋体"/>
      <charset val="0"/>
      <scheme val="major"/>
    </font>
    <font>
      <b/>
      <sz val="1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medium">
        <color rgb="FF00B05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auto="1"/>
      </bottom>
      <diagonal/>
    </border>
    <border>
      <left style="thin">
        <color rgb="FF4573E9"/>
      </left>
      <right style="thin">
        <color rgb="FF4573E9"/>
      </right>
      <top/>
      <bottom style="thin">
        <color rgb="FF4573E9"/>
      </bottom>
      <diagonal/>
    </border>
    <border>
      <left style="thin">
        <color theme="4"/>
      </left>
      <right style="thin">
        <color theme="4"/>
      </right>
      <top style="thin">
        <color auto="1"/>
      </top>
      <bottom style="thin">
        <color auto="1"/>
      </bottom>
      <diagonal/>
    </border>
    <border>
      <left style="thin">
        <color rgb="FF4573E9"/>
      </left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rgb="FF4573E9"/>
      </left>
      <right/>
      <top style="thin">
        <color rgb="FF4573E9"/>
      </top>
      <bottom style="thin">
        <color rgb="FF4573E9"/>
      </bottom>
      <diagonal/>
    </border>
    <border>
      <left/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theme="4"/>
      </left>
      <right style="thin">
        <color theme="4"/>
      </right>
      <top style="thin">
        <color auto="1"/>
      </top>
      <bottom style="thin">
        <color theme="4"/>
      </bottom>
      <diagonal/>
    </border>
    <border>
      <left style="thin">
        <color rgb="FF4573E9"/>
      </left>
      <right/>
      <top style="thin">
        <color rgb="FF4573E9"/>
      </top>
      <bottom/>
      <diagonal/>
    </border>
    <border>
      <left/>
      <right style="thin">
        <color rgb="FF4573E9"/>
      </right>
      <top style="thin">
        <color rgb="FF4573E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16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7">
      <alignment vertical="center"/>
    </xf>
    <xf numFmtId="0" fontId="15" fillId="0" borderId="17">
      <alignment vertical="center"/>
    </xf>
    <xf numFmtId="0" fontId="16" fillId="0" borderId="18">
      <alignment vertical="center"/>
    </xf>
    <xf numFmtId="0" fontId="16" fillId="0" borderId="0">
      <alignment vertical="center"/>
    </xf>
    <xf numFmtId="0" fontId="17" fillId="6" borderId="19">
      <alignment vertical="center"/>
    </xf>
    <xf numFmtId="0" fontId="18" fillId="7" borderId="20">
      <alignment vertical="center"/>
    </xf>
    <xf numFmtId="0" fontId="19" fillId="7" borderId="19">
      <alignment vertical="center"/>
    </xf>
    <xf numFmtId="0" fontId="20" fillId="8" borderId="21">
      <alignment vertical="center"/>
    </xf>
    <xf numFmtId="0" fontId="21" fillId="0" borderId="22">
      <alignment vertical="center"/>
    </xf>
    <xf numFmtId="0" fontId="22" fillId="0" borderId="23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2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NumberFormat="1" applyFont="1" applyFill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5" fillId="4" borderId="2" xfId="0" applyFont="1" applyFill="1" applyBorder="1" applyAlignment="1" applyProtection="1">
      <alignment horizontal="center" vertical="center"/>
    </xf>
    <xf numFmtId="58" fontId="5" fillId="4" borderId="2" xfId="0" applyNumberFormat="1" applyFont="1" applyFill="1" applyBorder="1" applyAlignment="1" applyProtection="1">
      <alignment horizontal="center" vertical="center"/>
    </xf>
    <xf numFmtId="0" fontId="5" fillId="4" borderId="4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</xf>
    <xf numFmtId="0" fontId="6" fillId="4" borderId="5" xfId="0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 applyProtection="1">
      <alignment horizontal="center" vertical="center"/>
      <protection locked="0"/>
    </xf>
    <xf numFmtId="0" fontId="8" fillId="0" borderId="6" xfId="0" applyFont="1" applyFill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</xf>
    <xf numFmtId="58" fontId="5" fillId="4" borderId="4" xfId="0" applyNumberFormat="1" applyFont="1" applyFill="1" applyBorder="1" applyAlignment="1" applyProtection="1">
      <alignment horizontal="center" vertical="center"/>
    </xf>
    <xf numFmtId="0" fontId="6" fillId="4" borderId="7" xfId="0" applyFont="1" applyFill="1" applyBorder="1" applyAlignment="1" applyProtection="1">
      <alignment horizontal="center" vertical="center"/>
    </xf>
    <xf numFmtId="0" fontId="8" fillId="0" borderId="8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</xf>
    <xf numFmtId="58" fontId="5" fillId="4" borderId="10" xfId="0" applyNumberFormat="1" applyFont="1" applyFill="1" applyBorder="1" applyAlignment="1" applyProtection="1">
      <alignment horizontal="center" vertical="center"/>
    </xf>
    <xf numFmtId="0" fontId="5" fillId="4" borderId="9" xfId="0" applyFont="1" applyFill="1" applyBorder="1" applyAlignment="1" applyProtection="1">
      <alignment horizontal="center" vertical="center"/>
    </xf>
    <xf numFmtId="0" fontId="8" fillId="0" borderId="11" xfId="0" applyFont="1" applyFill="1" applyBorder="1" applyAlignment="1" applyProtection="1">
      <alignment horizontal="center" vertical="center"/>
      <protection hidden="1"/>
    </xf>
    <xf numFmtId="0" fontId="8" fillId="0" borderId="12" xfId="0" applyFont="1" applyFill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</xf>
    <xf numFmtId="0" fontId="6" fillId="4" borderId="13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  <protection locked="0"/>
    </xf>
    <xf numFmtId="0" fontId="8" fillId="0" borderId="14" xfId="0" applyFont="1" applyFill="1" applyBorder="1" applyAlignment="1" applyProtection="1">
      <alignment horizontal="center" vertical="center"/>
      <protection hidden="1"/>
    </xf>
    <xf numFmtId="0" fontId="8" fillId="0" borderId="15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</xf>
    <xf numFmtId="0" fontId="7" fillId="0" borderId="2" xfId="0" applyFont="1" applyFill="1" applyBorder="1" applyAlignment="1" applyProtection="1">
      <alignment horizontal="center" vertical="center"/>
      <protection hidden="1"/>
    </xf>
    <xf numFmtId="176" fontId="7" fillId="0" borderId="2" xfId="0" applyNumberFormat="1" applyFont="1" applyFill="1" applyBorder="1" applyAlignment="1" applyProtection="1">
      <alignment horizontal="center" vertic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zoomScale="70" zoomScaleNormal="70" topLeftCell="E3" workbookViewId="0">
      <selection activeCell="I9" sqref="I9"/>
    </sheetView>
  </sheetViews>
  <sheetFormatPr defaultColWidth="9" defaultRowHeight="13.5"/>
  <cols>
    <col min="1" max="1" width="16.8761061946903" style="1" customWidth="1"/>
    <col min="2" max="2" width="27.1238938053097" style="1" customWidth="1"/>
    <col min="3" max="3" width="25.1238938053097" style="1" customWidth="1"/>
    <col min="4" max="4" width="20" style="1" customWidth="1"/>
    <col min="5" max="5" width="55.353982300885" style="1" customWidth="1"/>
    <col min="6" max="6" width="55" style="1" customWidth="1"/>
    <col min="7" max="7" width="18.3716814159292" style="1" customWidth="1"/>
    <col min="8" max="8" width="18" style="1" customWidth="1"/>
    <col min="9" max="9" width="23.5044247787611" style="1" customWidth="1"/>
    <col min="10" max="16384" width="9" style="1"/>
  </cols>
  <sheetData>
    <row r="1" s="1" customFormat="1" ht="86" customHeight="1" spans="1:14">
      <c r="A1" s="2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</row>
    <row r="2" s="1" customFormat="1" ht="63" customHeight="1" spans="1:14">
      <c r="A2" s="5"/>
      <c r="B2" s="5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/>
      <c r="J2" s="4"/>
      <c r="K2" s="4"/>
      <c r="L2" s="6" t="s">
        <v>7</v>
      </c>
      <c r="M2" s="6" t="s">
        <v>8</v>
      </c>
      <c r="N2" s="6"/>
    </row>
    <row r="3" s="1" customFormat="1" ht="71" customHeight="1" spans="1:14">
      <c r="A3" s="7" t="s">
        <v>9</v>
      </c>
      <c r="B3" s="8" t="s">
        <v>10</v>
      </c>
      <c r="C3" s="9" t="s">
        <v>11</v>
      </c>
      <c r="D3" s="8" t="s">
        <v>12</v>
      </c>
      <c r="E3" s="10" t="s">
        <v>13</v>
      </c>
      <c r="F3" s="11" t="s">
        <v>14</v>
      </c>
      <c r="G3" s="8">
        <f>715*H3+161</f>
        <v>733</v>
      </c>
      <c r="H3" s="8">
        <f>L4</f>
        <v>0.8</v>
      </c>
      <c r="I3" s="12" t="s">
        <v>15</v>
      </c>
      <c r="J3" s="4"/>
      <c r="K3" s="4"/>
      <c r="L3" s="13">
        <v>1500</v>
      </c>
      <c r="M3" s="14" t="s">
        <v>16</v>
      </c>
      <c r="N3" s="14"/>
    </row>
    <row r="4" s="1" customFormat="1" ht="71" customHeight="1" spans="1:14">
      <c r="A4" s="15" t="s">
        <v>17</v>
      </c>
      <c r="B4" s="8" t="s">
        <v>18</v>
      </c>
      <c r="C4" s="16" t="s">
        <v>19</v>
      </c>
      <c r="D4" s="8" t="s">
        <v>12</v>
      </c>
      <c r="E4" s="10" t="s">
        <v>13</v>
      </c>
      <c r="F4" s="11" t="s">
        <v>14</v>
      </c>
      <c r="G4" s="8">
        <f>715*H4+161</f>
        <v>733</v>
      </c>
      <c r="H4" s="8">
        <f>L4</f>
        <v>0.8</v>
      </c>
      <c r="I4" s="17"/>
      <c r="J4" s="4"/>
      <c r="K4" s="4"/>
      <c r="L4" s="13">
        <v>0.8</v>
      </c>
      <c r="M4" s="18" t="s">
        <v>20</v>
      </c>
      <c r="N4" s="18"/>
    </row>
    <row r="5" s="1" customFormat="1" ht="71" customHeight="1" spans="1:14">
      <c r="A5" s="19"/>
      <c r="B5" s="8" t="s">
        <v>21</v>
      </c>
      <c r="C5" s="20"/>
      <c r="D5" s="8" t="s">
        <v>22</v>
      </c>
      <c r="E5" s="21"/>
      <c r="F5" s="11" t="s">
        <v>23</v>
      </c>
      <c r="G5" s="8">
        <f>550*H5+78</f>
        <v>518</v>
      </c>
      <c r="H5" s="8">
        <f>L4</f>
        <v>0.8</v>
      </c>
      <c r="I5" s="17"/>
      <c r="J5" s="4"/>
      <c r="K5" s="4"/>
      <c r="L5" s="13">
        <v>38</v>
      </c>
      <c r="M5" s="22" t="s">
        <v>24</v>
      </c>
      <c r="N5" s="23"/>
    </row>
    <row r="6" ht="71" customHeight="1" spans="1:14">
      <c r="A6" s="19"/>
      <c r="B6" s="8" t="s">
        <v>25</v>
      </c>
      <c r="C6" s="9" t="s">
        <v>26</v>
      </c>
      <c r="D6" s="8" t="s">
        <v>12</v>
      </c>
      <c r="E6" s="8" t="s">
        <v>27</v>
      </c>
      <c r="F6" s="11" t="s">
        <v>28</v>
      </c>
      <c r="G6" s="8">
        <f>465*H6+161</f>
        <v>533</v>
      </c>
      <c r="H6" s="8">
        <f>L4</f>
        <v>0.8</v>
      </c>
      <c r="I6" s="17"/>
      <c r="J6" s="4"/>
      <c r="K6" s="4"/>
      <c r="L6" s="13">
        <v>30</v>
      </c>
      <c r="M6" s="22" t="s">
        <v>29</v>
      </c>
      <c r="N6" s="23"/>
    </row>
    <row r="7" ht="71" customHeight="1" spans="1:14">
      <c r="A7" s="24"/>
      <c r="B7" s="8" t="s">
        <v>30</v>
      </c>
      <c r="C7" s="9"/>
      <c r="D7" s="8" t="s">
        <v>22</v>
      </c>
      <c r="E7" s="8" t="s">
        <v>31</v>
      </c>
      <c r="F7" s="11" t="s">
        <v>32</v>
      </c>
      <c r="G7" s="8">
        <f>287*H7+78</f>
        <v>307.6</v>
      </c>
      <c r="H7" s="8">
        <f>L4</f>
        <v>0.8</v>
      </c>
      <c r="I7" s="25"/>
      <c r="J7" s="4"/>
      <c r="K7" s="4"/>
      <c r="L7" s="26">
        <v>30</v>
      </c>
      <c r="M7" s="27" t="s">
        <v>33</v>
      </c>
      <c r="N7" s="28"/>
    </row>
    <row r="8" ht="71" customHeight="1" spans="1:14">
      <c r="A8" s="4"/>
      <c r="B8" s="4"/>
      <c r="C8" s="4"/>
      <c r="D8" s="4"/>
      <c r="E8" s="4"/>
      <c r="F8" s="4"/>
      <c r="G8" s="4"/>
      <c r="H8" s="4"/>
      <c r="I8" s="29"/>
      <c r="J8" s="4"/>
      <c r="K8" s="4"/>
      <c r="L8" s="30">
        <f>L5+L6+L7</f>
        <v>98</v>
      </c>
      <c r="M8" s="27" t="s">
        <v>34</v>
      </c>
      <c r="N8" s="28"/>
    </row>
    <row r="9" ht="71" customHeight="1" spans="1:14">
      <c r="A9" s="4"/>
      <c r="B9" s="4"/>
      <c r="C9" s="4"/>
      <c r="D9" s="4"/>
      <c r="E9" s="4"/>
      <c r="F9" s="4"/>
      <c r="H9" s="4"/>
      <c r="I9" s="29"/>
      <c r="J9" s="4"/>
      <c r="K9" s="4"/>
      <c r="L9" s="31">
        <f>L4/(L5/100*L6/100*L7/100)</f>
        <v>23.3918128654971</v>
      </c>
      <c r="M9" s="22" t="s">
        <v>35</v>
      </c>
      <c r="N9" s="23"/>
    </row>
    <row r="10" ht="71" customHeight="1" spans="1:14">
      <c r="I10"/>
    </row>
    <row r="16" s="1" customFormat="1" spans="1:14">
      <c r="F16" s="1" t="s">
        <v>36</v>
      </c>
    </row>
  </sheetData>
  <sheetProtection algorithmName="SHA-512" hashValue="ZOVCHbH80ZTcWBaARWkDwjPHOWQQPhBVtPy6fGebyWg/mcKmnYAyRLzKzSWXolYDtBFD6c3PGI0XHRD6hNaf1g==" saltValue="HIfG57pVL3z3SzOMSzqHfA==" spinCount="100000" sheet="1" formatCells="0" formatColumns="0" formatRows="0" insertRows="0" insertColumns="0" insertHyperlinks="0" deleteColumns="0" deleteRows="0" sort="0" autoFilter="0" pivotTables="0" objects="1"/>
  <mergeCells count="16">
    <mergeCell ref="A1:I1"/>
    <mergeCell ref="A2:B2"/>
    <mergeCell ref="H2:I2"/>
    <mergeCell ref="M2:N2"/>
    <mergeCell ref="M3:N3"/>
    <mergeCell ref="M4:N4"/>
    <mergeCell ref="M5:N5"/>
    <mergeCell ref="M6:N6"/>
    <mergeCell ref="M7:N7"/>
    <mergeCell ref="M8:N8"/>
    <mergeCell ref="M9:N9"/>
    <mergeCell ref="A4:A7"/>
    <mergeCell ref="C4:C5"/>
    <mergeCell ref="C6:C7"/>
    <mergeCell ref="E4:E5"/>
    <mergeCell ref="I3:I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葡萄成熟就见你</cp:lastModifiedBy>
  <dcterms:created xsi:type="dcterms:W3CDTF">2023-05-12T11:15:00Z</dcterms:created>
  <dcterms:modified xsi:type="dcterms:W3CDTF">2026-03-26T02:58:24Z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92FBB3743E70486AA7CB0D482AC5DE5F_13</vt:lpwstr>
  </property>
  <property fmtid="{D5CDD505-2E9C-101B-9397-08002B2CF9AE}" pid="4" name="CalculationRule">
    <vt:i4>0</vt:i4>
  </property>
</Properties>
</file>